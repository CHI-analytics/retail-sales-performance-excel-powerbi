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lhe\Documents\DATA ANALYSIS LEARNING\PROJECT PORTFOLIO\POWER BI AND EXCEL\Project 6 Retail Sales Performance Analysis (Excel &amp; Power BI)\"/>
    </mc:Choice>
  </mc:AlternateContent>
  <xr:revisionPtr revIDLastSave="0" documentId="13_ncr:1_{1339344E-AC53-4729-86AB-719C14D00E4A}" xr6:coauthVersionLast="47" xr6:coauthVersionMax="47" xr10:uidLastSave="{00000000-0000-0000-0000-000000000000}"/>
  <bookViews>
    <workbookView xWindow="-120" yWindow="-120" windowWidth="29040" windowHeight="15720" tabRatio="773" firstSheet="1" activeTab="5" xr2:uid="{00000000-000D-0000-FFFF-FFFF00000000}"/>
  </bookViews>
  <sheets>
    <sheet name="RETAIL_SALES_DATASET" sheetId="1" r:id="rId1"/>
    <sheet name="KPIs" sheetId="2" r:id="rId2"/>
    <sheet name="Revenue by Category" sheetId="4" r:id="rId3"/>
    <sheet name="Revenue by Gender" sheetId="6" r:id="rId4"/>
    <sheet name="Revenue by Age Group" sheetId="16" r:id="rId5"/>
    <sheet name="Monthly Revenue Trend" sheetId="17" r:id="rId6"/>
    <sheet name="Customer Purchase Behavior" sheetId="18" r:id="rId7"/>
  </sheets>
  <calcPr calcId="191029"/>
  <pivotCaches>
    <pivotCache cacheId="4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B6" i="2"/>
  <c r="B3" i="2"/>
  <c r="B2" i="2"/>
  <c r="J2" i="1"/>
  <c r="J3" i="1"/>
  <c r="J4" i="1"/>
  <c r="B1" i="2" s="1"/>
  <c r="B7" i="2" s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B4" i="2" l="1"/>
  <c r="B5" i="2"/>
</calcChain>
</file>

<file path=xl/sharedStrings.xml><?xml version="1.0" encoding="utf-8"?>
<sst xmlns="http://schemas.openxmlformats.org/spreadsheetml/2006/main" count="4054" uniqueCount="1045">
  <si>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</si>
  <si>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</si>
  <si>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</si>
  <si>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</si>
  <si>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</si>
  <si>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</si>
  <si>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</si>
  <si>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</si>
  <si>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</si>
  <si>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</si>
  <si>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</si>
  <si>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</si>
  <si>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</si>
  <si>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</si>
  <si>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</si>
  <si>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</si>
  <si>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</si>
  <si>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</si>
  <si>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</si>
  <si>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</si>
  <si>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</si>
  <si>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</si>
  <si>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</si>
  <si>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</si>
  <si>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</si>
  <si>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</si>
  <si>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</si>
  <si>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</si>
  <si>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</si>
  <si>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</si>
  <si>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</si>
  <si>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</si>
  <si>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</si>
  <si>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</si>
  <si>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</si>
  <si>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</si>
  <si>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</si>
  <si>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</si>
  <si>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</si>
  <si>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</si>
  <si>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</si>
  <si>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</si>
  <si>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</si>
  <si>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</si>
  <si>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</si>
  <si>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</si>
  <si>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</si>
  <si>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</si>
  <si>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</si>
  <si>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</si>
  <si>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</si>
  <si>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</si>
  <si>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</si>
  <si>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</si>
  <si>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</si>
  <si>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</si>
  <si>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</si>
  <si>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</si>
  <si>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</si>
  <si>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</si>
  <si>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</si>
  <si>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</si>
  <si>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</si>
  <si>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</si>
  <si>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</si>
  <si>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</si>
  <si>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</si>
  <si>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</si>
  <si>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</si>
  <si>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</si>
  <si>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</si>
  <si>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</si>
  <si>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</si>
  <si>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</si>
  <si>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</si>
  <si>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</si>
  <si>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</si>
  <si>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</si>
  <si>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</si>
  <si>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</si>
  <si>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</si>
  <si>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</si>
  <si>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</si>
  <si>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</si>
  <si>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</si>
  <si>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</si>
  <si>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</si>
  <si>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</si>
  <si>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</si>
  <si>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</si>
  <si>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</si>
  <si>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</si>
  <si>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</si>
  <si>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</si>
  <si>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</si>
  <si>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</si>
  <si>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</si>
  <si>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</si>
  <si>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</si>
  <si>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</si>
  <si>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</si>
  <si>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</si>
  <si>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</si>
  <si>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</si>
  <si>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</si>
  <si>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</si>
  <si>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</si>
  <si>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</si>
  <si>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</si>
  <si>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</si>
  <si>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</si>
  <si>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</si>
  <si>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</si>
  <si>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</si>
  <si>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</si>
  <si>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</si>
  <si>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</si>
  <si>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</si>
  <si>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</si>
  <si>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</si>
  <si>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</si>
  <si>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</si>
  <si>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</si>
  <si>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</si>
  <si>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</si>
  <si>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</si>
  <si>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</si>
  <si>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</si>
  <si>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</si>
  <si>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</si>
  <si>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</si>
  <si>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</si>
  <si>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</si>
  <si>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</si>
  <si>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</si>
  <si>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</si>
  <si>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</si>
  <si>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</si>
  <si>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</si>
  <si>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</si>
  <si>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</si>
  <si>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</si>
  <si>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</si>
  <si>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</si>
  <si>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</si>
  <si>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</si>
  <si>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</si>
  <si>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</si>
  <si>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</si>
  <si>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</si>
  <si>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</si>
  <si>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</si>
  <si>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</si>
  <si>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</si>
  <si>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</si>
  <si>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</si>
  <si>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</si>
  <si>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</si>
  <si>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</si>
  <si>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</si>
  <si>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</si>
  <si>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</si>
  <si>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</si>
  <si>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</si>
  <si>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</si>
  <si>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</si>
  <si>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</si>
  <si>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</si>
  <si>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</si>
  <si>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</si>
  <si>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</si>
  <si>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</si>
  <si>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</si>
  <si>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</si>
  <si>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</si>
  <si>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</si>
  <si>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</si>
  <si>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</si>
  <si>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</si>
  <si>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</si>
  <si>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</si>
  <si>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</si>
  <si>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</si>
  <si>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</si>
  <si>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</si>
  <si>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</si>
  <si>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</si>
  <si>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</si>
  <si>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</si>
  <si>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</si>
  <si>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</si>
  <si>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</si>
  <si>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</si>
  <si>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</si>
  <si>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</si>
  <si>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</si>
  <si>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</si>
  <si>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</si>
  <si>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</si>
  <si>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</si>
  <si>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</si>
  <si>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</si>
  <si>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</si>
  <si>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</si>
  <si>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</si>
  <si>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</si>
  <si>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</si>
  <si>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</si>
  <si>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</si>
  <si>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</si>
  <si>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</si>
  <si>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</si>
  <si>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</si>
  <si>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</si>
  <si>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</si>
  <si>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</si>
  <si>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</si>
  <si>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</si>
  <si>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</si>
  <si>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</si>
  <si>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</si>
  <si>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</si>
  <si>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</si>
  <si>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</si>
  <si>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</si>
  <si>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</si>
  <si>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</si>
  <si>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</si>
  <si>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</si>
  <si>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</si>
  <si>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</si>
  <si>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</si>
  <si>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</si>
  <si>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</si>
  <si>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</si>
  <si>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</si>
  <si>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</si>
  <si>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</si>
  <si>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</si>
  <si>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</si>
  <si>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</si>
  <si>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</si>
  <si>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</si>
  <si>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</si>
  <si>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</si>
  <si>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</si>
  <si>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</si>
  <si>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</si>
  <si>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</si>
  <si>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</si>
  <si>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</si>
  <si>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</si>
  <si>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</si>
  <si>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</si>
  <si>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</si>
  <si>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</si>
  <si>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</si>
  <si>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</si>
  <si>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</si>
  <si>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</si>
  <si>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</si>
  <si>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</si>
  <si>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</si>
  <si>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</si>
  <si>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</si>
  <si>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</si>
  <si>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</si>
  <si>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</si>
  <si>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</si>
  <si>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</si>
  <si>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</si>
  <si>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</si>
  <si>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</si>
  <si>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</si>
  <si>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</si>
  <si>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</si>
  <si>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</si>
  <si>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</si>
  <si>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</si>
  <si>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</si>
  <si>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</si>
  <si>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</si>
  <si>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</si>
  <si>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</si>
  <si>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</si>
  <si>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</si>
  <si>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</si>
  <si>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</si>
  <si>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</si>
  <si>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</si>
  <si>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</si>
  <si>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</si>
  <si>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</si>
  <si>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</si>
  <si>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</si>
  <si>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</si>
  <si>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</si>
  <si>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</si>
  <si>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</si>
  <si>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</si>
  <si>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</si>
  <si>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</si>
  <si>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</si>
  <si>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</si>
  <si>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</si>
  <si>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</si>
  <si>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</si>
  <si>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</si>
  <si>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</si>
  <si>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</si>
  <si>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</si>
  <si>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</si>
  <si>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</si>
  <si>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</si>
  <si>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</si>
  <si>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</si>
  <si>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</si>
  <si>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</si>
  <si>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</si>
  <si>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</si>
  <si>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</si>
  <si>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</si>
  <si>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</si>
  <si>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</si>
  <si>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</si>
  <si>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</si>
  <si>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</si>
  <si>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</si>
  <si>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</si>
  <si>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</si>
  <si>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</si>
  <si>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</si>
  <si>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</si>
  <si>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</si>
  <si>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</si>
  <si>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</si>
  <si>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</si>
  <si>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</si>
  <si>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</si>
  <si>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</si>
  <si>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</si>
  <si>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</si>
  <si>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</si>
  <si>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</si>
  <si>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</si>
  <si>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</si>
  <si>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</si>
  <si>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</si>
  <si>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</si>
  <si>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</si>
  <si>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</si>
  <si>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</si>
  <si>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</si>
  <si>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</si>
  <si>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</si>
  <si>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</si>
  <si>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</si>
  <si>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</si>
  <si>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</si>
  <si>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</si>
  <si>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</si>
  <si>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</si>
  <si>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</si>
  <si>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</si>
  <si>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</si>
  <si>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</si>
  <si>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</si>
  <si>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</si>
  <si>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</si>
  <si>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</si>
  <si>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</si>
  <si>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</si>
  <si>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</si>
  <si>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</si>
  <si>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</si>
  <si>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</si>
  <si>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</si>
  <si>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</si>
  <si>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</si>
  <si>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</si>
  <si>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</si>
  <si>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</si>
  <si>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</si>
  <si>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</si>
  <si>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</si>
  <si>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</si>
  <si>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</si>
  <si>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</si>
  <si>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</si>
  <si>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</si>
  <si>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</si>
  <si>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</si>
  <si>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</si>
  <si>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</si>
  <si>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</si>
  <si>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</si>
  <si>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</si>
  <si>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</si>
  <si>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</si>
  <si>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</si>
  <si>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</si>
  <si>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</si>
  <si>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</si>
  <si>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</si>
  <si>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</si>
  <si>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</si>
  <si>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</si>
  <si>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</si>
  <si>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</si>
  <si>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</si>
  <si>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</si>
  <si>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</si>
  <si>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</si>
  <si>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</si>
  <si>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</si>
  <si>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</si>
  <si>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</si>
  <si>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</si>
  <si>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</si>
  <si>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</si>
  <si>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</si>
  <si>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</si>
  <si>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</si>
  <si>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</si>
  <si>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</si>
  <si>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</si>
  <si>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</si>
  <si>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</si>
  <si>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</si>
  <si>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</si>
  <si>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</si>
  <si>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</si>
  <si>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</si>
  <si>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</si>
  <si>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</si>
  <si>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</si>
  <si>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</si>
  <si>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</si>
  <si>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</si>
  <si>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</si>
  <si>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</si>
  <si>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</si>
  <si>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</si>
  <si>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</si>
  <si>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</si>
  <si>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</si>
  <si>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</si>
  <si>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</si>
  <si>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</si>
  <si>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</si>
  <si>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</si>
  <si>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</si>
  <si>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</si>
  <si>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</si>
  <si>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</si>
  <si>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</si>
  <si>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</si>
  <si>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</si>
  <si>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</si>
  <si>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</si>
  <si>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</si>
  <si>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</si>
  <si>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</si>
  <si>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</si>
  <si>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</si>
  <si>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</si>
  <si>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</si>
  <si>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</si>
  <si>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</si>
  <si>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</si>
  <si>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</si>
  <si>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</si>
  <si>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</si>
  <si>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</si>
  <si>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</si>
  <si>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</si>
  <si>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</si>
  <si>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</si>
  <si>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</si>
  <si>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</si>
  <si>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</si>
  <si>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</si>
  <si>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</si>
  <si>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</si>
  <si>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</si>
  <si>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</si>
  <si>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</si>
  <si>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</si>
  <si>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</si>
  <si>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</si>
  <si>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</si>
  <si>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</si>
  <si>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</si>
  <si>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</si>
  <si>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</si>
  <si>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</si>
  <si>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</si>
  <si>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</si>
  <si>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</si>
  <si>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</si>
  <si>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</si>
  <si>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</si>
  <si>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</si>
  <si>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</si>
  <si>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</si>
  <si>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</si>
  <si>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</si>
  <si>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</si>
  <si>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</si>
  <si>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</si>
  <si>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</si>
  <si>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</si>
  <si>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</si>
  <si>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</si>
  <si>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</si>
  <si>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</si>
  <si>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</si>
  <si>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</si>
  <si>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</si>
  <si>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</si>
  <si>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</si>
  <si>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</si>
  <si>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</si>
  <si>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</si>
  <si>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</si>
  <si>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</si>
  <si>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</si>
  <si>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</si>
  <si>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</si>
  <si>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</si>
  <si>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</si>
  <si>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</si>
  <si>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</si>
  <si>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</si>
  <si>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</si>
  <si>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</si>
  <si>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</si>
  <si>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</si>
  <si>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</si>
  <si>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</si>
  <si>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</si>
  <si>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</si>
  <si>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</si>
  <si>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</si>
  <si>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</si>
  <si>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</si>
  <si>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</si>
  <si>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</si>
  <si>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</si>
  <si>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</si>
  <si>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</si>
  <si>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</si>
  <si>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</si>
  <si>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</si>
  <si>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</si>
  <si>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</si>
  <si>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</si>
  <si>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</si>
  <si>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</si>
  <si>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</si>
  <si>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</si>
  <si>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</si>
  <si>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</si>
  <si>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</si>
  <si>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</si>
  <si>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</si>
  <si>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</si>
  <si>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</si>
  <si>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</si>
  <si>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</si>
  <si>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</si>
  <si>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</si>
  <si>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</si>
  <si>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</si>
  <si>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</si>
  <si>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</si>
  <si>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</si>
  <si>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</si>
  <si>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</si>
  <si>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</si>
  <si>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</si>
  <si>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</si>
  <si>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</si>
  <si>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</si>
  <si>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</si>
  <si>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</si>
  <si>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</si>
  <si>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</si>
  <si>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</si>
  <si>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</si>
  <si>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</si>
  <si>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</si>
  <si>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</si>
  <si>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</si>
  <si>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</si>
  <si>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</si>
  <si>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</si>
  <si>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</si>
  <si>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</si>
  <si>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</si>
  <si>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</si>
  <si>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</si>
  <si>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</si>
  <si>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</si>
  <si>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</si>
  <si>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</si>
  <si>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</si>
  <si>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</si>
  <si>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</si>
  <si>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</si>
  <si>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</si>
  <si>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</si>
  <si>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</si>
  <si>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</si>
  <si>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</si>
  <si>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</si>
  <si>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</si>
  <si>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</si>
  <si>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</si>
  <si>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</si>
  <si>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</si>
  <si>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</si>
  <si>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</si>
  <si>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</si>
  <si>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</si>
  <si>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</si>
  <si>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</si>
  <si>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</si>
  <si>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</si>
  <si>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</si>
  <si>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</si>
  <si>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</si>
  <si>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</si>
  <si>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</si>
  <si>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</si>
  <si>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</si>
  <si>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</si>
  <si>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</si>
  <si>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</si>
  <si>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</si>
  <si>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</si>
  <si>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</si>
  <si>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</si>
  <si>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</si>
  <si>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</si>
  <si>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</si>
  <si>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</si>
  <si>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</si>
  <si>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</si>
  <si>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</si>
  <si>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</si>
  <si>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</si>
  <si>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</si>
  <si>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</si>
  <si>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</si>
  <si>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</si>
  <si>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</si>
  <si>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</si>
  <si>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</si>
  <si>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</si>
  <si>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</si>
  <si>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</si>
  <si>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</si>
  <si>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</si>
  <si>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</si>
  <si>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</si>
  <si>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</si>
  <si>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</si>
  <si>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</si>
  <si>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</si>
  <si>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</si>
  <si>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</si>
  <si>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</si>
  <si>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</si>
  <si>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</si>
  <si>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</si>
  <si>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</si>
  <si>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</si>
  <si>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</si>
  <si>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</si>
  <si>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</si>
  <si>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</si>
  <si>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</si>
  <si>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</si>
  <si>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</si>
  <si>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</si>
  <si>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</si>
  <si>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</si>
  <si>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</si>
  <si>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</si>
  <si>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</si>
  <si>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</si>
  <si>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</si>
  <si>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</si>
  <si>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</si>
  <si>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</si>
  <si>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</si>
  <si>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</si>
  <si>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</si>
  <si>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</si>
  <si>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</si>
  <si>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</si>
  <si>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</si>
  <si>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</si>
  <si>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</si>
  <si>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</si>
  <si>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</si>
  <si>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</si>
  <si>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</si>
  <si>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</si>
  <si>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</si>
  <si>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</si>
  <si>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</si>
  <si>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</si>
  <si>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</si>
  <si>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</si>
  <si>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</si>
  <si>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</si>
  <si>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</si>
  <si>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</si>
  <si>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</si>
  <si>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</si>
  <si>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</si>
  <si>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</si>
  <si>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</si>
  <si>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</si>
  <si>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</si>
  <si>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</si>
  <si>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</si>
  <si>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</si>
  <si>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</si>
  <si>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</si>
  <si>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</si>
  <si>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</si>
  <si>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</si>
  <si>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</si>
  <si>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</si>
  <si>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</si>
  <si>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</si>
  <si>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</si>
  <si>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</si>
  <si>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</si>
  <si>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</si>
  <si>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</si>
  <si>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</si>
  <si>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</si>
  <si>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</si>
  <si>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</si>
  <si>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</si>
  <si>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</si>
  <si>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</si>
  <si>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</si>
  <si>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</si>
  <si>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</si>
  <si>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</si>
  <si>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</si>
  <si>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</si>
  <si>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</si>
  <si>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</si>
  <si>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</si>
  <si>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</si>
  <si>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</si>
  <si>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</si>
  <si>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</si>
  <si>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</si>
  <si>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</si>
  <si>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</si>
  <si>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</si>
  <si>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</si>
  <si>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</si>
  <si>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</si>
  <si>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</si>
  <si>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</si>
  <si>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</si>
  <si>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</si>
  <si>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</si>
  <si>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</si>
  <si>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</si>
  <si>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</si>
  <si>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</si>
  <si>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</si>
  <si>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</si>
  <si>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</si>
  <si>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</si>
  <si>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</si>
  <si>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</si>
  <si>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</si>
  <si>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</si>
  <si>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</si>
  <si>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</si>
  <si>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</si>
  <si>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</si>
  <si>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</si>
  <si>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</si>
  <si>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</si>
  <si>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</si>
  <si>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</si>
  <si>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</si>
  <si>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</si>
  <si>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</si>
  <si>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</si>
  <si>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</si>
  <si>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</si>
  <si>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</si>
  <si>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</si>
  <si>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</si>
  <si>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</si>
  <si>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</si>
  <si>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</si>
  <si>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</si>
  <si>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</si>
  <si>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</si>
  <si>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</si>
  <si>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</si>
  <si>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</si>
  <si>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</si>
  <si>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</si>
  <si>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</si>
  <si>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</si>
  <si>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</si>
  <si>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</si>
  <si>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</si>
  <si>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</si>
  <si>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</si>
  <si>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</si>
  <si>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</si>
  <si>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</si>
  <si>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</si>
  <si>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</si>
  <si>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</si>
  <si>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</si>
  <si>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</si>
  <si>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</si>
  <si>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</si>
  <si>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</si>
  <si>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</si>
  <si>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</si>
  <si>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</si>
  <si>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</si>
  <si>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</si>
  <si>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</si>
  <si>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</si>
  <si>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</si>
  <si>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</si>
  <si>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</si>
  <si>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</si>
  <si>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</si>
  <si>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</si>
  <si>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</si>
  <si>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</si>
  <si>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</si>
  <si>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</si>
  <si>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</si>
  <si>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</si>
  <si>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</si>
  <si>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</si>
  <si>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</si>
  <si>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</si>
  <si>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</si>
  <si>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</si>
  <si>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</si>
  <si>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</si>
  <si>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</si>
  <si>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</si>
  <si>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</si>
  <si>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</si>
  <si>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</si>
  <si>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</si>
  <si>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</si>
  <si>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</si>
  <si>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</si>
  <si>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</si>
  <si>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</si>
  <si>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</si>
  <si>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</si>
  <si>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</si>
  <si>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</si>
  <si>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</si>
  <si>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</si>
  <si>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</si>
  <si>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</si>
  <si>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</si>
  <si>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</si>
  <si>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</si>
  <si>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</si>
  <si>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</si>
  <si>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</si>
  <si>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</si>
  <si>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</si>
  <si>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</si>
  <si>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</si>
  <si>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</si>
  <si>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</si>
  <si>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</si>
  <si>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</si>
  <si>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</si>
  <si>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</si>
  <si>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</si>
  <si>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</si>
  <si>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</si>
  <si>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</si>
  <si>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</si>
  <si>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</si>
  <si>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</si>
  <si>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</si>
  <si>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</si>
  <si>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</si>
  <si>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</si>
  <si>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</si>
  <si>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</si>
  <si>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</si>
  <si>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</si>
  <si>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</si>
  <si>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</si>
  <si>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</si>
  <si>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</si>
  <si>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</si>
  <si>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</si>
  <si>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</si>
  <si>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</si>
  <si>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</si>
  <si>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</si>
  <si>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</si>
  <si>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</si>
  <si>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</si>
  <si>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</si>
  <si>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</si>
  <si>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</si>
  <si>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</si>
  <si>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</si>
  <si>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</si>
  <si>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</si>
  <si>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</si>
  <si>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</si>
  <si>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</si>
  <si>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</si>
  <si>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</si>
  <si>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</si>
  <si>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</si>
  <si>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</si>
  <si>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</si>
  <si>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</si>
  <si>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</si>
  <si>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</si>
  <si>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</si>
  <si>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</si>
  <si>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</si>
  <si>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</si>
  <si>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</si>
  <si>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</si>
  <si>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</si>
  <si>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</si>
  <si>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</si>
  <si>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</si>
  <si>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</si>
  <si>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</si>
  <si>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</si>
  <si>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</si>
  <si>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</si>
  <si>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</si>
  <si>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</si>
  <si>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</si>
  <si>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</si>
  <si>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</si>
  <si>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</si>
  <si>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</si>
  <si>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</si>
  <si>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</si>
  <si>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</si>
  <si>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</si>
  <si>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</si>
  <si>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</si>
  <si>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</si>
  <si>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</si>
  <si>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</si>
  <si>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</si>
  <si>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</si>
  <si>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</si>
  <si>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</si>
  <si>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</si>
  <si>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</si>
  <si>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</si>
  <si>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</si>
  <si>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</si>
  <si>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</si>
  <si>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</si>
  <si>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</si>
  <si>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</si>
  <si>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</si>
  <si>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</si>
  <si>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</si>
  <si>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</si>
  <si>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</si>
  <si>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</si>
  <si>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</si>
  <si>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</si>
  <si>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</si>
  <si>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</si>
  <si>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</si>
  <si>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</si>
  <si>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</si>
  <si>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</si>
  <si>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</si>
  <si>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</si>
  <si>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</si>
  <si>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</si>
  <si>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</si>
  <si>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</si>
  <si>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</si>
  <si>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</si>
  <si>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</si>
  <si>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</si>
  <si>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</si>
  <si>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</si>
  <si>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Revenue</t>
  </si>
  <si>
    <t>Total Revenue</t>
  </si>
  <si>
    <t>Total Transactions</t>
  </si>
  <si>
    <t>Total Customers</t>
  </si>
  <si>
    <t>Average Order Value (AOV)</t>
  </si>
  <si>
    <t>Average Revenue per Customer</t>
  </si>
  <si>
    <t>Items Sold (Units Sold)</t>
  </si>
  <si>
    <t>Average Price per Unit</t>
  </si>
  <si>
    <t>Grand Total</t>
  </si>
  <si>
    <t>Age Group</t>
  </si>
  <si>
    <t>25–34</t>
  </si>
  <si>
    <t>35–44</t>
  </si>
  <si>
    <t>45–54</t>
  </si>
  <si>
    <t>55+</t>
  </si>
  <si>
    <t>Under 25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</si>
  <si>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</si>
  <si>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</si>
  <si>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</si>
  <si>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</si>
  <si>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</si>
  <si>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</si>
  <si>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</si>
  <si>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</si>
  <si>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</si>
  <si>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</si>
  <si>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</si>
  <si>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</si>
  <si>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</si>
  <si>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</si>
  <si>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CustomerID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</si>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</sst>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8" fontId="0" fillId="0" borderId="0" xfId="0" applyNumberFormat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33" borderId="10" xfId="0" applyFont="1" applyFill="1" applyBorder="1"/>
    <xf numFmtId="168" fontId="19" fillId="33" borderId="11" xfId="0" applyNumberFormat="1" applyFont="1" applyFill="1" applyBorder="1"/>
    <xf numFmtId="0" fontId="18" fillId="33" borderId="12" xfId="0" applyFont="1" applyFill="1" applyBorder="1"/>
    <xf numFmtId="0" fontId="19" fillId="33" borderId="13" xfId="0" applyFont="1" applyFill="1" applyBorder="1"/>
    <xf numFmtId="168" fontId="19" fillId="33" borderId="13" xfId="0" applyNumberFormat="1" applyFont="1" applyFill="1" applyBorder="1"/>
    <xf numFmtId="0" fontId="18" fillId="33" borderId="14" xfId="0" applyFont="1" applyFill="1" applyBorder="1"/>
    <xf numFmtId="168" fontId="19" fillId="33" borderId="15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[Retail_Sales_Excel_Analysis.xlsx]Revenue by Category!Revenue by 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by Product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Category'!$A$4:$A$6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'Revenue by Category'!$B$4:$B$6</c:f>
              <c:numCache>
                <c:formatCode>"£"#,##0.00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5-4DC6-BB3C-71B61CCA6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742288"/>
        <c:axId val="638741040"/>
      </c:barChart>
      <c:catAx>
        <c:axId val="63874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layout>
            <c:manualLayout>
              <c:xMode val="edge"/>
              <c:yMode val="edge"/>
              <c:x val="0.5352728338099968"/>
              <c:y val="0.80099737532808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41040"/>
        <c:crosses val="autoZero"/>
        <c:auto val="1"/>
        <c:lblAlgn val="ctr"/>
        <c:lblOffset val="100"/>
        <c:noMultiLvlLbl val="0"/>
      </c:catAx>
      <c:valAx>
        <c:axId val="6387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4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[Retail_Sales_Excel_Analysis.xlsx]Monthly Revenue Trend!Monthly Revenue Trend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 Trend'!$A$4:$A$16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'Monthly Revenue Trend'!$B$4:$B$16</c:f>
              <c:numCache>
                <c:formatCode>"£"#,##0.00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6-4539-ACCE-23D9C0AC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866576"/>
        <c:axId val="842862000"/>
      </c:lineChart>
      <c:catAx>
        <c:axId val="842866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Month</a:t>
                </a:r>
              </a:p>
            </c:rich>
          </c:tx>
          <c:layout>
            <c:manualLayout>
              <c:xMode val="edge"/>
              <c:yMode val="edge"/>
              <c:x val="0.51800132562639289"/>
              <c:y val="0.8184744094488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862000"/>
        <c:crosses val="autoZero"/>
        <c:auto val="1"/>
        <c:lblAlgn val="ctr"/>
        <c:lblOffset val="100"/>
        <c:noMultiLvlLbl val="0"/>
      </c:catAx>
      <c:valAx>
        <c:axId val="84286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86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295274</xdr:colOff>
      <xdr:row>8</xdr:row>
      <xdr:rowOff>47625</xdr:rowOff>
    </xdr:from>
    <xdr:to>
      <xdr:col>18</xdr:col>
      <xdr:colOff>380999</xdr:colOff>
      <xdr:row>21</xdr:row>
      <xdr:rowOff>66674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EABDEF8-4A54-4C0C-A6CF-A38868E1AC15}"/>
            </a:ext>
          </a:extLst>
        </xdr:cNvPr>
        <xdr:cNvSpPr txBox="1"/>
      </xdr:nvSpPr>
      <xdr:spPr>
        <a:xfrm>
          <a:off x="9163049" y="1571625"/>
          <a:ext cx="3133725" cy="249554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Insight:</a:t>
          </a:r>
        </a:p>
        <a:p>
          <a:r>
            <a:rPr lang="en-GB" sz="1200"/>
            <a:t>Revenue contribution varies significantly across product categories. One or two categories generate a disproportionately high share of total revenue, indicating where the business’s core value lies and where strategic focus should be placed.</a:t>
          </a:r>
        </a:p>
        <a:p>
          <a:br>
            <a:rPr lang="en-GB" sz="1200"/>
          </a:br>
          <a:r>
            <a:rPr lang="en-GB" sz="1200"/>
            <a:t>Electronics is the top-revenue product category, followed by Clothing and Beauty. This suggests higher customer spending on electronics products.</a:t>
          </a:r>
        </a:p>
      </xdr:txBody>
    </xdr:sp>
    <xdr:clientData/>
  </xdr:twoCellAnchor>
  <xdr:twoCellAnchor>
    <xdr:from>
      <xdr:col>3</xdr:col>
      <xdr:colOff>400050</xdr:colOff>
      <xdr:row>5</xdr:row>
      <xdr:rowOff>152400</xdr:rowOff>
    </xdr:from>
    <xdr:to>
      <xdr:col>12</xdr:col>
      <xdr:colOff>266700</xdr:colOff>
      <xdr:row>22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B73E3F-AB29-4803-AE97-17EA63377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38100</xdr:rowOff>
    </xdr:from>
    <xdr:to>
      <xdr:col>9</xdr:col>
      <xdr:colOff>38100</xdr:colOff>
      <xdr:row>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11DE9F-DCCF-4B33-A3DE-5ABEA702EA01}"/>
            </a:ext>
          </a:extLst>
        </xdr:cNvPr>
        <xdr:cNvSpPr txBox="1"/>
      </xdr:nvSpPr>
      <xdr:spPr>
        <a:xfrm>
          <a:off x="3238500" y="419100"/>
          <a:ext cx="2857500" cy="9715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Insight:</a:t>
          </a:r>
          <a:br>
            <a:rPr lang="en-GB" sz="1200"/>
          </a:br>
          <a:r>
            <a:rPr lang="en-GB" sz="1200"/>
            <a:t>Female customers contribute a higher share of total revenue compared to male customers, indicating stronger purchasing activity among female shoppers.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1</xdr:row>
      <xdr:rowOff>171450</xdr:rowOff>
    </xdr:from>
    <xdr:to>
      <xdr:col>9</xdr:col>
      <xdr:colOff>133349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D93F8F-BA85-4D01-A74B-08C72BF47C1C}"/>
            </a:ext>
          </a:extLst>
        </xdr:cNvPr>
        <xdr:cNvSpPr txBox="1"/>
      </xdr:nvSpPr>
      <xdr:spPr>
        <a:xfrm>
          <a:off x="3305174" y="361950"/>
          <a:ext cx="2981325" cy="11620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Insight:</a:t>
          </a:r>
          <a:br>
            <a:rPr lang="en-GB" sz="1200"/>
          </a:br>
          <a:r>
            <a:rPr lang="en-GB" sz="1200"/>
            <a:t>Customers aged 45–54 generate the highest revenue, followed by the 25–34 age group, indicating that young to mid-career customers are the most valuable segment.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2</xdr:row>
      <xdr:rowOff>176212</xdr:rowOff>
    </xdr:from>
    <xdr:to>
      <xdr:col>13</xdr:col>
      <xdr:colOff>438149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445F9-4D73-4668-AC7B-50492DCDF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5</xdr:row>
      <xdr:rowOff>104775</xdr:rowOff>
    </xdr:from>
    <xdr:to>
      <xdr:col>19</xdr:col>
      <xdr:colOff>228600</xdr:colOff>
      <xdr:row>13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8FF745-E8D2-45F0-ADE2-3A1133A1253C}"/>
            </a:ext>
          </a:extLst>
        </xdr:cNvPr>
        <xdr:cNvSpPr txBox="1"/>
      </xdr:nvSpPr>
      <xdr:spPr>
        <a:xfrm>
          <a:off x="9220200" y="1057275"/>
          <a:ext cx="3162300" cy="1428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Insight:</a:t>
          </a:r>
          <a:br>
            <a:rPr lang="en-GB" sz="1200"/>
          </a:br>
          <a:r>
            <a:rPr lang="en-GB" sz="1200"/>
            <a:t>Revenue shows noticeable variation across months, indicating seasonal purchasing behavior. Certain months generate higher sales volumes, suggesting peak demand periods that could be targeted for promotions and inventory planning.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314323</xdr:colOff>
      <xdr:row>4</xdr:row>
      <xdr:rowOff>76199</xdr:rowOff>
    </xdr:from>
    <xdr:to>
      <xdr:col>12</xdr:col>
      <xdr:colOff>219074</xdr:colOff>
      <xdr:row>13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F3DB73-405E-47B4-8577-1A6D679BFD55}"/>
            </a:ext>
          </a:extLst>
        </xdr:cNvPr>
        <xdr:cNvSpPr txBox="1"/>
      </xdr:nvSpPr>
      <xdr:spPr>
        <a:xfrm>
          <a:off x="4514848" y="838199"/>
          <a:ext cx="4171951" cy="166687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/>
            <a:t>Insight</a:t>
          </a:r>
        </a:p>
        <a:p>
          <a:br>
            <a:rPr lang="en-GB" sz="1200"/>
          </a:br>
          <a:r>
            <a:rPr lang="en-GB" sz="1200" b="1"/>
            <a:t>Customer Purchase Behavior Analysis:</a:t>
          </a:r>
          <a:br>
            <a:rPr lang="en-GB" sz="1200"/>
          </a:br>
          <a:r>
            <a:rPr lang="en-GB" sz="1200"/>
            <a:t>Customer purchasing patterns reveal distinct behaviors. Some customers generate high revenue through frequent purchases, while others contribute through fewer but higher-value transactions. This insight supports targeted marketing and customer segmentation strategies.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Igwebuike" refreshedDate="46057.914881249999" createdVersion="7" refreshedVersion="7" minRefreshableVersion="3" recordCount="1000" xr:uid="{1DAF10CB-D43E-4628-AEE2-3153D567D8CB}">
  <cacheSource type="worksheet">
    <worksheetSource name="Table1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Revenue" numFmtId="0">
      <sharedItems containsSemiMixedTypes="0" containsString="0" containsNumber="1" containsInteger="1" minValue="25" maxValue="2000"/>
    </cacheField>
    <cacheField name="Age Group" numFmtId="0">
      <sharedItems count="5">
        <s v="25–34"/>
        <s v="45–54"/>
        <s v="35–44"/>
        <s v="55+"/>
        <s v="Under 25"/>
      </sharedItems>
    </cacheField>
    <cacheField name="Month" numFmtId="0">
      <sharedItems count="13">
        <s v="2023-11"/>
        <s v="2023-02"/>
        <s v="2023-01"/>
        <s v="2023-05"/>
        <s v="2023-04"/>
        <s v="2023-03"/>
        <s v="2023-12"/>
        <s v="2023-10"/>
        <s v="2023-08"/>
        <s v="2023-09"/>
        <s v="2023-06"/>
        <s v="2023-07"/>
        <s v="2024-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n v="34"/>
    <x v="0"/>
    <n v="3"/>
    <n v="50"/>
    <n v="150"/>
    <n v="150"/>
    <x v="0"/>
    <x v="0"/>
  </r>
  <r>
    <n v="2"/>
    <d v="2023-02-27T00:00:00"/>
    <x v="1"/>
    <x v="1"/>
    <n v="26"/>
    <x v="1"/>
    <n v="2"/>
    <n v="500"/>
    <n v="1000"/>
    <n v="1000"/>
    <x v="0"/>
    <x v="1"/>
  </r>
  <r>
    <n v="3"/>
    <d v="2023-01-13T00:00:00"/>
    <x v="2"/>
    <x v="0"/>
    <n v="50"/>
    <x v="2"/>
    <n v="1"/>
    <n v="30"/>
    <n v="30"/>
    <n v="30"/>
    <x v="1"/>
    <x v="2"/>
  </r>
  <r>
    <n v="4"/>
    <d v="2023-05-21T00:00:00"/>
    <x v="3"/>
    <x v="0"/>
    <n v="37"/>
    <x v="1"/>
    <n v="1"/>
    <n v="500"/>
    <n v="500"/>
    <n v="500"/>
    <x v="2"/>
    <x v="3"/>
  </r>
  <r>
    <n v="5"/>
    <d v="2023-05-06T00:00:00"/>
    <x v="4"/>
    <x v="0"/>
    <n v="30"/>
    <x v="0"/>
    <n v="2"/>
    <n v="50"/>
    <n v="100"/>
    <n v="100"/>
    <x v="0"/>
    <x v="3"/>
  </r>
  <r>
    <n v="6"/>
    <d v="2023-04-25T00:00:00"/>
    <x v="5"/>
    <x v="1"/>
    <n v="45"/>
    <x v="0"/>
    <n v="1"/>
    <n v="30"/>
    <n v="30"/>
    <n v="30"/>
    <x v="1"/>
    <x v="4"/>
  </r>
  <r>
    <n v="7"/>
    <d v="2023-03-13T00:00:00"/>
    <x v="6"/>
    <x v="0"/>
    <n v="46"/>
    <x v="1"/>
    <n v="2"/>
    <n v="25"/>
    <n v="50"/>
    <n v="50"/>
    <x v="1"/>
    <x v="5"/>
  </r>
  <r>
    <n v="8"/>
    <d v="2023-02-22T00:00:00"/>
    <x v="7"/>
    <x v="0"/>
    <n v="30"/>
    <x v="2"/>
    <n v="4"/>
    <n v="25"/>
    <n v="100"/>
    <n v="100"/>
    <x v="0"/>
    <x v="1"/>
  </r>
  <r>
    <n v="9"/>
    <d v="2023-12-13T00:00:00"/>
    <x v="8"/>
    <x v="0"/>
    <n v="63"/>
    <x v="2"/>
    <n v="2"/>
    <n v="300"/>
    <n v="600"/>
    <n v="600"/>
    <x v="3"/>
    <x v="6"/>
  </r>
  <r>
    <n v="10"/>
    <d v="2023-10-07T00:00:00"/>
    <x v="9"/>
    <x v="1"/>
    <n v="52"/>
    <x v="1"/>
    <n v="4"/>
    <n v="50"/>
    <n v="200"/>
    <n v="200"/>
    <x v="1"/>
    <x v="7"/>
  </r>
  <r>
    <n v="11"/>
    <d v="2023-02-14T00:00:00"/>
    <x v="10"/>
    <x v="0"/>
    <n v="23"/>
    <x v="1"/>
    <n v="2"/>
    <n v="50"/>
    <n v="100"/>
    <n v="100"/>
    <x v="4"/>
    <x v="1"/>
  </r>
  <r>
    <n v="12"/>
    <d v="2023-10-30T00:00:00"/>
    <x v="11"/>
    <x v="0"/>
    <n v="35"/>
    <x v="0"/>
    <n v="3"/>
    <n v="25"/>
    <n v="75"/>
    <n v="75"/>
    <x v="2"/>
    <x v="7"/>
  </r>
  <r>
    <n v="13"/>
    <d v="2023-08-05T00:00:00"/>
    <x v="12"/>
    <x v="0"/>
    <n v="22"/>
    <x v="2"/>
    <n v="3"/>
    <n v="500"/>
    <n v="1500"/>
    <n v="1500"/>
    <x v="4"/>
    <x v="8"/>
  </r>
  <r>
    <n v="14"/>
    <d v="2023-01-17T00:00:00"/>
    <x v="13"/>
    <x v="0"/>
    <n v="64"/>
    <x v="1"/>
    <n v="4"/>
    <n v="30"/>
    <n v="120"/>
    <n v="120"/>
    <x v="3"/>
    <x v="2"/>
  </r>
  <r>
    <n v="15"/>
    <d v="2023-01-16T00:00:00"/>
    <x v="14"/>
    <x v="1"/>
    <n v="42"/>
    <x v="2"/>
    <n v="4"/>
    <n v="500"/>
    <n v="2000"/>
    <n v="2000"/>
    <x v="2"/>
    <x v="2"/>
  </r>
  <r>
    <n v="16"/>
    <d v="2023-02-17T00:00:00"/>
    <x v="15"/>
    <x v="0"/>
    <n v="19"/>
    <x v="1"/>
    <n v="3"/>
    <n v="500"/>
    <n v="1500"/>
    <n v="1500"/>
    <x v="4"/>
    <x v="1"/>
  </r>
  <r>
    <n v="17"/>
    <d v="2023-04-22T00:00:00"/>
    <x v="16"/>
    <x v="1"/>
    <n v="27"/>
    <x v="1"/>
    <n v="4"/>
    <n v="25"/>
    <n v="100"/>
    <n v="100"/>
    <x v="0"/>
    <x v="4"/>
  </r>
  <r>
    <n v="18"/>
    <d v="2023-04-30T00:00:00"/>
    <x v="17"/>
    <x v="1"/>
    <n v="47"/>
    <x v="2"/>
    <n v="2"/>
    <n v="25"/>
    <n v="50"/>
    <n v="50"/>
    <x v="1"/>
    <x v="4"/>
  </r>
  <r>
    <n v="19"/>
    <d v="2023-09-16T00:00:00"/>
    <x v="18"/>
    <x v="1"/>
    <n v="62"/>
    <x v="1"/>
    <n v="2"/>
    <n v="25"/>
    <n v="50"/>
    <n v="50"/>
    <x v="3"/>
    <x v="9"/>
  </r>
  <r>
    <n v="20"/>
    <d v="2023-11-05T00:00:00"/>
    <x v="19"/>
    <x v="0"/>
    <n v="22"/>
    <x v="1"/>
    <n v="3"/>
    <n v="300"/>
    <n v="900"/>
    <n v="900"/>
    <x v="4"/>
    <x v="0"/>
  </r>
  <r>
    <n v="21"/>
    <d v="2023-01-14T00:00:00"/>
    <x v="20"/>
    <x v="1"/>
    <n v="50"/>
    <x v="0"/>
    <n v="1"/>
    <n v="500"/>
    <n v="500"/>
    <n v="500"/>
    <x v="1"/>
    <x v="2"/>
  </r>
  <r>
    <n v="22"/>
    <d v="2023-10-15T00:00:00"/>
    <x v="21"/>
    <x v="0"/>
    <n v="18"/>
    <x v="1"/>
    <n v="2"/>
    <n v="50"/>
    <n v="100"/>
    <n v="100"/>
    <x v="4"/>
    <x v="7"/>
  </r>
  <r>
    <n v="23"/>
    <d v="2023-04-12T00:00:00"/>
    <x v="22"/>
    <x v="1"/>
    <n v="35"/>
    <x v="1"/>
    <n v="4"/>
    <n v="30"/>
    <n v="120"/>
    <n v="120"/>
    <x v="2"/>
    <x v="4"/>
  </r>
  <r>
    <n v="24"/>
    <d v="2023-11-29T00:00:00"/>
    <x v="23"/>
    <x v="1"/>
    <n v="49"/>
    <x v="1"/>
    <n v="1"/>
    <n v="300"/>
    <n v="300"/>
    <n v="300"/>
    <x v="1"/>
    <x v="0"/>
  </r>
  <r>
    <n v="25"/>
    <d v="2023-12-26T00:00:00"/>
    <x v="24"/>
    <x v="1"/>
    <n v="64"/>
    <x v="0"/>
    <n v="1"/>
    <n v="50"/>
    <n v="50"/>
    <n v="50"/>
    <x v="3"/>
    <x v="6"/>
  </r>
  <r>
    <n v="26"/>
    <d v="2023-10-07T00:00:00"/>
    <x v="25"/>
    <x v="1"/>
    <n v="28"/>
    <x v="2"/>
    <n v="2"/>
    <n v="500"/>
    <n v="1000"/>
    <n v="1000"/>
    <x v="0"/>
    <x v="7"/>
  </r>
  <r>
    <n v="27"/>
    <d v="2023-08-03T00:00:00"/>
    <x v="26"/>
    <x v="1"/>
    <n v="38"/>
    <x v="0"/>
    <n v="2"/>
    <n v="25"/>
    <n v="50"/>
    <n v="50"/>
    <x v="2"/>
    <x v="8"/>
  </r>
  <r>
    <n v="28"/>
    <d v="2023-04-23T00:00:00"/>
    <x v="27"/>
    <x v="1"/>
    <n v="43"/>
    <x v="0"/>
    <n v="1"/>
    <n v="500"/>
    <n v="500"/>
    <n v="500"/>
    <x v="2"/>
    <x v="4"/>
  </r>
  <r>
    <n v="29"/>
    <d v="2023-08-18T00:00:00"/>
    <x v="28"/>
    <x v="1"/>
    <n v="42"/>
    <x v="2"/>
    <n v="1"/>
    <n v="30"/>
    <n v="30"/>
    <n v="30"/>
    <x v="2"/>
    <x v="8"/>
  </r>
  <r>
    <n v="30"/>
    <d v="2023-10-29T00:00:00"/>
    <x v="29"/>
    <x v="1"/>
    <n v="39"/>
    <x v="0"/>
    <n v="3"/>
    <n v="300"/>
    <n v="900"/>
    <n v="900"/>
    <x v="2"/>
    <x v="7"/>
  </r>
  <r>
    <n v="31"/>
    <d v="2023-05-23T00:00:00"/>
    <x v="30"/>
    <x v="0"/>
    <n v="44"/>
    <x v="2"/>
    <n v="4"/>
    <n v="300"/>
    <n v="1200"/>
    <n v="1200"/>
    <x v="2"/>
    <x v="3"/>
  </r>
  <r>
    <n v="32"/>
    <d v="2023-01-04T00:00:00"/>
    <x v="31"/>
    <x v="0"/>
    <n v="30"/>
    <x v="0"/>
    <n v="3"/>
    <n v="30"/>
    <n v="90"/>
    <n v="90"/>
    <x v="0"/>
    <x v="2"/>
  </r>
  <r>
    <n v="33"/>
    <d v="2023-03-23T00:00:00"/>
    <x v="32"/>
    <x v="1"/>
    <n v="50"/>
    <x v="2"/>
    <n v="2"/>
    <n v="50"/>
    <n v="100"/>
    <n v="100"/>
    <x v="1"/>
    <x v="5"/>
  </r>
  <r>
    <n v="34"/>
    <d v="2023-12-24T00:00:00"/>
    <x v="33"/>
    <x v="1"/>
    <n v="51"/>
    <x v="1"/>
    <n v="3"/>
    <n v="50"/>
    <n v="150"/>
    <n v="150"/>
    <x v="1"/>
    <x v="6"/>
  </r>
  <r>
    <n v="35"/>
    <d v="2023-08-05T00:00:00"/>
    <x v="34"/>
    <x v="1"/>
    <n v="58"/>
    <x v="0"/>
    <n v="3"/>
    <n v="300"/>
    <n v="900"/>
    <n v="900"/>
    <x v="3"/>
    <x v="8"/>
  </r>
  <r>
    <n v="36"/>
    <d v="2023-06-24T00:00:00"/>
    <x v="35"/>
    <x v="0"/>
    <n v="52"/>
    <x v="0"/>
    <n v="3"/>
    <n v="300"/>
    <n v="900"/>
    <n v="900"/>
    <x v="1"/>
    <x v="10"/>
  </r>
  <r>
    <n v="37"/>
    <d v="2023-05-23T00:00:00"/>
    <x v="36"/>
    <x v="1"/>
    <n v="18"/>
    <x v="0"/>
    <n v="3"/>
    <n v="25"/>
    <n v="75"/>
    <n v="75"/>
    <x v="4"/>
    <x v="3"/>
  </r>
  <r>
    <n v="38"/>
    <d v="2023-03-21T00:00:00"/>
    <x v="37"/>
    <x v="0"/>
    <n v="38"/>
    <x v="0"/>
    <n v="4"/>
    <n v="50"/>
    <n v="200"/>
    <n v="200"/>
    <x v="2"/>
    <x v="5"/>
  </r>
  <r>
    <n v="39"/>
    <d v="2023-04-21T00:00:00"/>
    <x v="38"/>
    <x v="0"/>
    <n v="23"/>
    <x v="1"/>
    <n v="4"/>
    <n v="30"/>
    <n v="120"/>
    <n v="120"/>
    <x v="4"/>
    <x v="4"/>
  </r>
  <r>
    <n v="40"/>
    <d v="2023-06-22T00:00:00"/>
    <x v="39"/>
    <x v="0"/>
    <n v="45"/>
    <x v="0"/>
    <n v="1"/>
    <n v="50"/>
    <n v="50"/>
    <n v="50"/>
    <x v="1"/>
    <x v="10"/>
  </r>
  <r>
    <n v="41"/>
    <d v="2023-02-22T00:00:00"/>
    <x v="40"/>
    <x v="0"/>
    <n v="34"/>
    <x v="1"/>
    <n v="2"/>
    <n v="25"/>
    <n v="50"/>
    <n v="50"/>
    <x v="0"/>
    <x v="1"/>
  </r>
  <r>
    <n v="42"/>
    <d v="2023-02-17T00:00:00"/>
    <x v="41"/>
    <x v="0"/>
    <n v="22"/>
    <x v="1"/>
    <n v="3"/>
    <n v="300"/>
    <n v="900"/>
    <n v="900"/>
    <x v="4"/>
    <x v="1"/>
  </r>
  <r>
    <n v="43"/>
    <d v="2023-07-14T00:00:00"/>
    <x v="42"/>
    <x v="1"/>
    <n v="48"/>
    <x v="1"/>
    <n v="1"/>
    <n v="300"/>
    <n v="300"/>
    <n v="300"/>
    <x v="1"/>
    <x v="11"/>
  </r>
  <r>
    <n v="44"/>
    <d v="2023-02-19T00:00:00"/>
    <x v="43"/>
    <x v="1"/>
    <n v="22"/>
    <x v="1"/>
    <n v="1"/>
    <n v="25"/>
    <n v="25"/>
    <n v="25"/>
    <x v="4"/>
    <x v="1"/>
  </r>
  <r>
    <n v="45"/>
    <d v="2023-07-03T00:00:00"/>
    <x v="44"/>
    <x v="1"/>
    <n v="55"/>
    <x v="2"/>
    <n v="1"/>
    <n v="30"/>
    <n v="30"/>
    <n v="30"/>
    <x v="3"/>
    <x v="11"/>
  </r>
  <r>
    <n v="46"/>
    <d v="2023-06-26T00:00:00"/>
    <x v="45"/>
    <x v="1"/>
    <n v="20"/>
    <x v="2"/>
    <n v="4"/>
    <n v="300"/>
    <n v="1200"/>
    <n v="1200"/>
    <x v="4"/>
    <x v="10"/>
  </r>
  <r>
    <n v="47"/>
    <d v="2023-11-06T00:00:00"/>
    <x v="46"/>
    <x v="1"/>
    <n v="40"/>
    <x v="0"/>
    <n v="3"/>
    <n v="500"/>
    <n v="1500"/>
    <n v="1500"/>
    <x v="2"/>
    <x v="0"/>
  </r>
  <r>
    <n v="48"/>
    <d v="2023-05-16T00:00:00"/>
    <x v="47"/>
    <x v="0"/>
    <n v="54"/>
    <x v="2"/>
    <n v="3"/>
    <n v="300"/>
    <n v="900"/>
    <n v="900"/>
    <x v="1"/>
    <x v="3"/>
  </r>
  <r>
    <n v="49"/>
    <d v="2023-01-23T00:00:00"/>
    <x v="48"/>
    <x v="1"/>
    <n v="54"/>
    <x v="2"/>
    <n v="2"/>
    <n v="500"/>
    <n v="1000"/>
    <n v="1000"/>
    <x v="1"/>
    <x v="2"/>
  </r>
  <r>
    <n v="50"/>
    <d v="2023-08-24T00:00:00"/>
    <x v="49"/>
    <x v="1"/>
    <n v="27"/>
    <x v="0"/>
    <n v="3"/>
    <n v="25"/>
    <n v="75"/>
    <n v="75"/>
    <x v="0"/>
    <x v="8"/>
  </r>
  <r>
    <n v="51"/>
    <d v="2023-10-02T00:00:00"/>
    <x v="50"/>
    <x v="0"/>
    <n v="27"/>
    <x v="0"/>
    <n v="3"/>
    <n v="25"/>
    <n v="75"/>
    <n v="75"/>
    <x v="0"/>
    <x v="7"/>
  </r>
  <r>
    <n v="52"/>
    <d v="2023-03-05T00:00:00"/>
    <x v="51"/>
    <x v="1"/>
    <n v="36"/>
    <x v="0"/>
    <n v="1"/>
    <n v="300"/>
    <n v="300"/>
    <n v="300"/>
    <x v="2"/>
    <x v="5"/>
  </r>
  <r>
    <n v="53"/>
    <d v="2023-07-13T00:00:00"/>
    <x v="52"/>
    <x v="0"/>
    <n v="34"/>
    <x v="2"/>
    <n v="2"/>
    <n v="50"/>
    <n v="100"/>
    <n v="100"/>
    <x v="0"/>
    <x v="11"/>
  </r>
  <r>
    <n v="54"/>
    <d v="2023-02-10T00:00:00"/>
    <x v="53"/>
    <x v="1"/>
    <n v="38"/>
    <x v="2"/>
    <n v="3"/>
    <n v="500"/>
    <n v="1500"/>
    <n v="1500"/>
    <x v="2"/>
    <x v="1"/>
  </r>
  <r>
    <n v="55"/>
    <d v="2023-10-10T00:00:00"/>
    <x v="54"/>
    <x v="0"/>
    <n v="31"/>
    <x v="0"/>
    <n v="4"/>
    <n v="30"/>
    <n v="120"/>
    <n v="120"/>
    <x v="0"/>
    <x v="7"/>
  </r>
  <r>
    <n v="56"/>
    <d v="2023-05-31T00:00:00"/>
    <x v="55"/>
    <x v="1"/>
    <n v="26"/>
    <x v="1"/>
    <n v="3"/>
    <n v="300"/>
    <n v="900"/>
    <n v="900"/>
    <x v="0"/>
    <x v="3"/>
  </r>
  <r>
    <n v="57"/>
    <d v="2023-11-18T00:00:00"/>
    <x v="56"/>
    <x v="1"/>
    <n v="63"/>
    <x v="0"/>
    <n v="1"/>
    <n v="30"/>
    <n v="30"/>
    <n v="30"/>
    <x v="3"/>
    <x v="0"/>
  </r>
  <r>
    <n v="58"/>
    <d v="2023-11-13T00:00:00"/>
    <x v="57"/>
    <x v="0"/>
    <n v="18"/>
    <x v="1"/>
    <n v="4"/>
    <n v="300"/>
    <n v="1200"/>
    <n v="1200"/>
    <x v="4"/>
    <x v="0"/>
  </r>
  <r>
    <n v="59"/>
    <d v="2023-07-05T00:00:00"/>
    <x v="58"/>
    <x v="0"/>
    <n v="62"/>
    <x v="1"/>
    <n v="1"/>
    <n v="50"/>
    <n v="50"/>
    <n v="50"/>
    <x v="3"/>
    <x v="11"/>
  </r>
  <r>
    <n v="60"/>
    <d v="2023-10-23T00:00:00"/>
    <x v="59"/>
    <x v="0"/>
    <n v="30"/>
    <x v="0"/>
    <n v="3"/>
    <n v="50"/>
    <n v="150"/>
    <n v="150"/>
    <x v="0"/>
    <x v="7"/>
  </r>
  <r>
    <n v="61"/>
    <d v="2023-04-09T00:00:00"/>
    <x v="60"/>
    <x v="0"/>
    <n v="21"/>
    <x v="0"/>
    <n v="4"/>
    <n v="50"/>
    <n v="200"/>
    <n v="200"/>
    <x v="4"/>
    <x v="4"/>
  </r>
  <r>
    <n v="62"/>
    <d v="2023-12-27T00:00:00"/>
    <x v="61"/>
    <x v="0"/>
    <n v="18"/>
    <x v="0"/>
    <n v="2"/>
    <n v="50"/>
    <n v="100"/>
    <n v="100"/>
    <x v="4"/>
    <x v="6"/>
  </r>
  <r>
    <n v="63"/>
    <d v="2023-02-05T00:00:00"/>
    <x v="62"/>
    <x v="0"/>
    <n v="57"/>
    <x v="2"/>
    <n v="2"/>
    <n v="25"/>
    <n v="50"/>
    <n v="50"/>
    <x v="3"/>
    <x v="1"/>
  </r>
  <r>
    <n v="64"/>
    <d v="2023-01-24T00:00:00"/>
    <x v="63"/>
    <x v="0"/>
    <n v="49"/>
    <x v="1"/>
    <n v="4"/>
    <n v="25"/>
    <n v="100"/>
    <n v="100"/>
    <x v="1"/>
    <x v="2"/>
  </r>
  <r>
    <n v="65"/>
    <d v="2023-12-05T00:00:00"/>
    <x v="64"/>
    <x v="0"/>
    <n v="51"/>
    <x v="2"/>
    <n v="4"/>
    <n v="500"/>
    <n v="2000"/>
    <n v="2000"/>
    <x v="1"/>
    <x v="6"/>
  </r>
  <r>
    <n v="66"/>
    <d v="2023-04-27T00:00:00"/>
    <x v="65"/>
    <x v="1"/>
    <n v="45"/>
    <x v="2"/>
    <n v="1"/>
    <n v="30"/>
    <n v="30"/>
    <n v="30"/>
    <x v="1"/>
    <x v="4"/>
  </r>
  <r>
    <n v="67"/>
    <d v="2023-05-29T00:00:00"/>
    <x v="66"/>
    <x v="1"/>
    <n v="48"/>
    <x v="0"/>
    <n v="4"/>
    <n v="300"/>
    <n v="1200"/>
    <n v="1200"/>
    <x v="1"/>
    <x v="3"/>
  </r>
  <r>
    <n v="68"/>
    <d v="2023-02-10T00:00:00"/>
    <x v="67"/>
    <x v="0"/>
    <n v="25"/>
    <x v="2"/>
    <n v="1"/>
    <n v="300"/>
    <n v="300"/>
    <n v="300"/>
    <x v="0"/>
    <x v="1"/>
  </r>
  <r>
    <n v="69"/>
    <d v="2023-04-30T00:00:00"/>
    <x v="68"/>
    <x v="1"/>
    <n v="56"/>
    <x v="0"/>
    <n v="3"/>
    <n v="25"/>
    <n v="75"/>
    <n v="75"/>
    <x v="3"/>
    <x v="4"/>
  </r>
  <r>
    <n v="70"/>
    <d v="2023-02-21T00:00:00"/>
    <x v="69"/>
    <x v="1"/>
    <n v="43"/>
    <x v="1"/>
    <n v="1"/>
    <n v="300"/>
    <n v="300"/>
    <n v="300"/>
    <x v="2"/>
    <x v="1"/>
  </r>
  <r>
    <n v="71"/>
    <d v="2023-07-14T00:00:00"/>
    <x v="70"/>
    <x v="1"/>
    <n v="51"/>
    <x v="0"/>
    <n v="4"/>
    <n v="25"/>
    <n v="100"/>
    <n v="100"/>
    <x v="1"/>
    <x v="11"/>
  </r>
  <r>
    <n v="72"/>
    <d v="2023-05-23T00:00:00"/>
    <x v="71"/>
    <x v="1"/>
    <n v="20"/>
    <x v="2"/>
    <n v="4"/>
    <n v="500"/>
    <n v="2000"/>
    <n v="2000"/>
    <x v="4"/>
    <x v="3"/>
  </r>
  <r>
    <n v="73"/>
    <d v="2023-08-21T00:00:00"/>
    <x v="72"/>
    <x v="0"/>
    <n v="29"/>
    <x v="2"/>
    <n v="3"/>
    <n v="30"/>
    <n v="90"/>
    <n v="90"/>
    <x v="0"/>
    <x v="8"/>
  </r>
  <r>
    <n v="74"/>
    <d v="2023-11-22T00:00:00"/>
    <x v="73"/>
    <x v="1"/>
    <n v="18"/>
    <x v="0"/>
    <n v="4"/>
    <n v="500"/>
    <n v="2000"/>
    <n v="2000"/>
    <x v="4"/>
    <x v="0"/>
  </r>
  <r>
    <n v="75"/>
    <d v="2023-07-06T00:00:00"/>
    <x v="74"/>
    <x v="0"/>
    <n v="61"/>
    <x v="0"/>
    <n v="4"/>
    <n v="50"/>
    <n v="200"/>
    <n v="200"/>
    <x v="3"/>
    <x v="11"/>
  </r>
  <r>
    <n v="76"/>
    <d v="2023-03-25T00:00:00"/>
    <x v="75"/>
    <x v="1"/>
    <n v="22"/>
    <x v="2"/>
    <n v="2"/>
    <n v="50"/>
    <n v="100"/>
    <n v="100"/>
    <x v="4"/>
    <x v="5"/>
  </r>
  <r>
    <n v="77"/>
    <d v="2023-07-09T00:00:00"/>
    <x v="76"/>
    <x v="1"/>
    <n v="47"/>
    <x v="1"/>
    <n v="2"/>
    <n v="50"/>
    <n v="100"/>
    <n v="100"/>
    <x v="1"/>
    <x v="11"/>
  </r>
  <r>
    <n v="78"/>
    <d v="2023-07-01T00:00:00"/>
    <x v="77"/>
    <x v="1"/>
    <n v="47"/>
    <x v="1"/>
    <n v="3"/>
    <n v="500"/>
    <n v="1500"/>
    <n v="1500"/>
    <x v="1"/>
    <x v="11"/>
  </r>
  <r>
    <n v="79"/>
    <d v="2023-04-18T00:00:00"/>
    <x v="78"/>
    <x v="0"/>
    <n v="34"/>
    <x v="0"/>
    <n v="1"/>
    <n v="300"/>
    <n v="300"/>
    <n v="300"/>
    <x v="0"/>
    <x v="4"/>
  </r>
  <r>
    <n v="80"/>
    <d v="2023-12-10T00:00:00"/>
    <x v="79"/>
    <x v="1"/>
    <n v="64"/>
    <x v="1"/>
    <n v="2"/>
    <n v="30"/>
    <n v="60"/>
    <n v="60"/>
    <x v="3"/>
    <x v="6"/>
  </r>
  <r>
    <n v="81"/>
    <d v="2023-05-17T00:00:00"/>
    <x v="80"/>
    <x v="0"/>
    <n v="40"/>
    <x v="2"/>
    <n v="1"/>
    <n v="50"/>
    <n v="50"/>
    <n v="50"/>
    <x v="2"/>
    <x v="3"/>
  </r>
  <r>
    <n v="82"/>
    <d v="2023-12-26T00:00:00"/>
    <x v="81"/>
    <x v="1"/>
    <n v="32"/>
    <x v="0"/>
    <n v="4"/>
    <n v="50"/>
    <n v="200"/>
    <n v="200"/>
    <x v="0"/>
    <x v="6"/>
  </r>
  <r>
    <n v="83"/>
    <d v="2023-12-16T00:00:00"/>
    <x v="82"/>
    <x v="0"/>
    <n v="54"/>
    <x v="2"/>
    <n v="2"/>
    <n v="50"/>
    <n v="100"/>
    <n v="100"/>
    <x v="1"/>
    <x v="6"/>
  </r>
  <r>
    <n v="84"/>
    <d v="2023-11-28T00:00:00"/>
    <x v="83"/>
    <x v="1"/>
    <n v="38"/>
    <x v="2"/>
    <n v="3"/>
    <n v="30"/>
    <n v="90"/>
    <n v="90"/>
    <x v="2"/>
    <x v="0"/>
  </r>
  <r>
    <n v="85"/>
    <d v="2023-02-06T00:00:00"/>
    <x v="84"/>
    <x v="0"/>
    <n v="31"/>
    <x v="1"/>
    <n v="3"/>
    <n v="50"/>
    <n v="150"/>
    <n v="150"/>
    <x v="0"/>
    <x v="1"/>
  </r>
  <r>
    <n v="86"/>
    <d v="2023-11-08T00:00:00"/>
    <x v="85"/>
    <x v="0"/>
    <n v="19"/>
    <x v="0"/>
    <n v="3"/>
    <n v="30"/>
    <n v="90"/>
    <n v="90"/>
    <x v="4"/>
    <x v="0"/>
  </r>
  <r>
    <n v="87"/>
    <d v="2023-11-22T00:00:00"/>
    <x v="86"/>
    <x v="1"/>
    <n v="28"/>
    <x v="0"/>
    <n v="2"/>
    <n v="50"/>
    <n v="100"/>
    <n v="100"/>
    <x v="0"/>
    <x v="0"/>
  </r>
  <r>
    <n v="88"/>
    <d v="2023-03-29T00:00:00"/>
    <x v="87"/>
    <x v="0"/>
    <n v="56"/>
    <x v="1"/>
    <n v="1"/>
    <n v="500"/>
    <n v="500"/>
    <n v="500"/>
    <x v="3"/>
    <x v="5"/>
  </r>
  <r>
    <n v="89"/>
    <d v="2023-10-01T00:00:00"/>
    <x v="88"/>
    <x v="1"/>
    <n v="55"/>
    <x v="2"/>
    <n v="4"/>
    <n v="500"/>
    <n v="2000"/>
    <n v="2000"/>
    <x v="3"/>
    <x v="7"/>
  </r>
  <r>
    <n v="90"/>
    <d v="2023-05-06T00:00:00"/>
    <x v="89"/>
    <x v="1"/>
    <n v="51"/>
    <x v="2"/>
    <n v="1"/>
    <n v="30"/>
    <n v="30"/>
    <n v="30"/>
    <x v="1"/>
    <x v="3"/>
  </r>
  <r>
    <n v="91"/>
    <d v="2023-03-25T00:00:00"/>
    <x v="90"/>
    <x v="1"/>
    <n v="55"/>
    <x v="2"/>
    <n v="1"/>
    <n v="500"/>
    <n v="500"/>
    <n v="500"/>
    <x v="3"/>
    <x v="5"/>
  </r>
  <r>
    <n v="92"/>
    <d v="2023-08-25T00:00:00"/>
    <x v="91"/>
    <x v="1"/>
    <n v="51"/>
    <x v="2"/>
    <n v="4"/>
    <n v="30"/>
    <n v="120"/>
    <n v="120"/>
    <x v="1"/>
    <x v="8"/>
  </r>
  <r>
    <n v="93"/>
    <d v="2023-07-14T00:00:00"/>
    <x v="92"/>
    <x v="1"/>
    <n v="35"/>
    <x v="0"/>
    <n v="4"/>
    <n v="500"/>
    <n v="2000"/>
    <n v="2000"/>
    <x v="2"/>
    <x v="11"/>
  </r>
  <r>
    <n v="94"/>
    <d v="2023-05-19T00:00:00"/>
    <x v="93"/>
    <x v="1"/>
    <n v="47"/>
    <x v="0"/>
    <n v="2"/>
    <n v="500"/>
    <n v="1000"/>
    <n v="1000"/>
    <x v="1"/>
    <x v="3"/>
  </r>
  <r>
    <n v="95"/>
    <d v="2023-11-24T00:00:00"/>
    <x v="94"/>
    <x v="1"/>
    <n v="32"/>
    <x v="1"/>
    <n v="2"/>
    <n v="30"/>
    <n v="60"/>
    <n v="60"/>
    <x v="0"/>
    <x v="0"/>
  </r>
  <r>
    <n v="96"/>
    <d v="2023-12-19T00:00:00"/>
    <x v="95"/>
    <x v="1"/>
    <n v="44"/>
    <x v="1"/>
    <n v="2"/>
    <n v="300"/>
    <n v="600"/>
    <n v="600"/>
    <x v="2"/>
    <x v="6"/>
  </r>
  <r>
    <n v="97"/>
    <d v="2023-10-13T00:00:00"/>
    <x v="96"/>
    <x v="1"/>
    <n v="51"/>
    <x v="0"/>
    <n v="2"/>
    <n v="500"/>
    <n v="1000"/>
    <n v="1000"/>
    <x v="1"/>
    <x v="7"/>
  </r>
  <r>
    <n v="98"/>
    <d v="2023-04-23T00:00:00"/>
    <x v="97"/>
    <x v="1"/>
    <n v="55"/>
    <x v="0"/>
    <n v="2"/>
    <n v="50"/>
    <n v="100"/>
    <n v="100"/>
    <x v="3"/>
    <x v="4"/>
  </r>
  <r>
    <n v="99"/>
    <d v="2023-12-17T00:00:00"/>
    <x v="98"/>
    <x v="1"/>
    <n v="50"/>
    <x v="2"/>
    <n v="4"/>
    <n v="300"/>
    <n v="1200"/>
    <n v="1200"/>
    <x v="1"/>
    <x v="6"/>
  </r>
  <r>
    <n v="100"/>
    <d v="2023-06-16T00:00:00"/>
    <x v="99"/>
    <x v="0"/>
    <n v="41"/>
    <x v="2"/>
    <n v="1"/>
    <n v="30"/>
    <n v="30"/>
    <n v="30"/>
    <x v="2"/>
    <x v="10"/>
  </r>
  <r>
    <n v="101"/>
    <d v="2023-01-29T00:00:00"/>
    <x v="100"/>
    <x v="0"/>
    <n v="32"/>
    <x v="1"/>
    <n v="2"/>
    <n v="300"/>
    <n v="600"/>
    <n v="600"/>
    <x v="0"/>
    <x v="2"/>
  </r>
  <r>
    <n v="102"/>
    <d v="2023-04-28T00:00:00"/>
    <x v="101"/>
    <x v="1"/>
    <n v="47"/>
    <x v="0"/>
    <n v="2"/>
    <n v="25"/>
    <n v="50"/>
    <n v="50"/>
    <x v="1"/>
    <x v="4"/>
  </r>
  <r>
    <n v="103"/>
    <d v="2023-01-17T00:00:00"/>
    <x v="102"/>
    <x v="1"/>
    <n v="59"/>
    <x v="1"/>
    <n v="1"/>
    <n v="25"/>
    <n v="25"/>
    <n v="25"/>
    <x v="3"/>
    <x v="2"/>
  </r>
  <r>
    <n v="104"/>
    <d v="2023-06-11T00:00:00"/>
    <x v="103"/>
    <x v="1"/>
    <n v="34"/>
    <x v="0"/>
    <n v="2"/>
    <n v="500"/>
    <n v="1000"/>
    <n v="1000"/>
    <x v="0"/>
    <x v="10"/>
  </r>
  <r>
    <n v="105"/>
    <d v="2023-07-25T00:00:00"/>
    <x v="104"/>
    <x v="1"/>
    <n v="22"/>
    <x v="2"/>
    <n v="1"/>
    <n v="500"/>
    <n v="500"/>
    <n v="500"/>
    <x v="4"/>
    <x v="11"/>
  </r>
  <r>
    <n v="106"/>
    <d v="2023-05-18T00:00:00"/>
    <x v="105"/>
    <x v="1"/>
    <n v="46"/>
    <x v="1"/>
    <n v="1"/>
    <n v="50"/>
    <n v="50"/>
    <n v="50"/>
    <x v="1"/>
    <x v="3"/>
  </r>
  <r>
    <n v="107"/>
    <d v="2023-02-03T00:00:00"/>
    <x v="106"/>
    <x v="1"/>
    <n v="21"/>
    <x v="1"/>
    <n v="4"/>
    <n v="300"/>
    <n v="1200"/>
    <n v="1200"/>
    <x v="4"/>
    <x v="1"/>
  </r>
  <r>
    <n v="108"/>
    <d v="2023-04-19T00:00:00"/>
    <x v="107"/>
    <x v="1"/>
    <n v="27"/>
    <x v="0"/>
    <n v="3"/>
    <n v="25"/>
    <n v="75"/>
    <n v="75"/>
    <x v="0"/>
    <x v="4"/>
  </r>
  <r>
    <n v="109"/>
    <d v="2023-10-18T00:00:00"/>
    <x v="108"/>
    <x v="1"/>
    <n v="34"/>
    <x v="2"/>
    <n v="4"/>
    <n v="500"/>
    <n v="2000"/>
    <n v="2000"/>
    <x v="0"/>
    <x v="7"/>
  </r>
  <r>
    <n v="110"/>
    <d v="2023-06-11T00:00:00"/>
    <x v="109"/>
    <x v="0"/>
    <n v="27"/>
    <x v="1"/>
    <n v="3"/>
    <n v="300"/>
    <n v="900"/>
    <n v="900"/>
    <x v="0"/>
    <x v="10"/>
  </r>
  <r>
    <n v="111"/>
    <d v="2023-04-19T00:00:00"/>
    <x v="110"/>
    <x v="1"/>
    <n v="34"/>
    <x v="2"/>
    <n v="3"/>
    <n v="500"/>
    <n v="1500"/>
    <n v="1500"/>
    <x v="0"/>
    <x v="4"/>
  </r>
  <r>
    <n v="112"/>
    <d v="2023-12-02T00:00:00"/>
    <x v="111"/>
    <x v="0"/>
    <n v="37"/>
    <x v="1"/>
    <n v="3"/>
    <n v="500"/>
    <n v="1500"/>
    <n v="1500"/>
    <x v="2"/>
    <x v="6"/>
  </r>
  <r>
    <n v="113"/>
    <d v="2023-09-13T00:00:00"/>
    <x v="112"/>
    <x v="1"/>
    <n v="41"/>
    <x v="2"/>
    <n v="2"/>
    <n v="25"/>
    <n v="50"/>
    <n v="50"/>
    <x v="2"/>
    <x v="9"/>
  </r>
  <r>
    <n v="114"/>
    <d v="2023-07-22T00:00:00"/>
    <x v="113"/>
    <x v="1"/>
    <n v="22"/>
    <x v="0"/>
    <n v="4"/>
    <n v="25"/>
    <n v="100"/>
    <n v="100"/>
    <x v="4"/>
    <x v="11"/>
  </r>
  <r>
    <n v="115"/>
    <d v="2023-11-26T00:00:00"/>
    <x v="114"/>
    <x v="0"/>
    <n v="51"/>
    <x v="1"/>
    <n v="3"/>
    <n v="500"/>
    <n v="1500"/>
    <n v="1500"/>
    <x v="1"/>
    <x v="0"/>
  </r>
  <r>
    <n v="116"/>
    <d v="2023-08-23T00:00:00"/>
    <x v="115"/>
    <x v="1"/>
    <n v="23"/>
    <x v="1"/>
    <n v="1"/>
    <n v="30"/>
    <n v="30"/>
    <n v="30"/>
    <x v="4"/>
    <x v="8"/>
  </r>
  <r>
    <n v="117"/>
    <d v="2023-03-15T00:00:00"/>
    <x v="116"/>
    <x v="0"/>
    <n v="19"/>
    <x v="2"/>
    <n v="2"/>
    <n v="500"/>
    <n v="1000"/>
    <n v="1000"/>
    <x v="4"/>
    <x v="5"/>
  </r>
  <r>
    <n v="118"/>
    <d v="2023-05-16T00:00:00"/>
    <x v="117"/>
    <x v="1"/>
    <n v="30"/>
    <x v="2"/>
    <n v="4"/>
    <n v="500"/>
    <n v="2000"/>
    <n v="2000"/>
    <x v="0"/>
    <x v="3"/>
  </r>
  <r>
    <n v="119"/>
    <d v="2023-03-13T00:00:00"/>
    <x v="118"/>
    <x v="1"/>
    <n v="60"/>
    <x v="1"/>
    <n v="3"/>
    <n v="50"/>
    <n v="150"/>
    <n v="150"/>
    <x v="3"/>
    <x v="5"/>
  </r>
  <r>
    <n v="120"/>
    <d v="2023-05-07T00:00:00"/>
    <x v="119"/>
    <x v="0"/>
    <n v="60"/>
    <x v="0"/>
    <n v="1"/>
    <n v="50"/>
    <n v="50"/>
    <n v="50"/>
    <x v="3"/>
    <x v="3"/>
  </r>
  <r>
    <n v="121"/>
    <d v="2023-10-15T00:00:00"/>
    <x v="120"/>
    <x v="1"/>
    <n v="28"/>
    <x v="2"/>
    <n v="4"/>
    <n v="50"/>
    <n v="200"/>
    <n v="200"/>
    <x v="0"/>
    <x v="7"/>
  </r>
  <r>
    <n v="122"/>
    <d v="2023-10-03T00:00:00"/>
    <x v="121"/>
    <x v="0"/>
    <n v="64"/>
    <x v="2"/>
    <n v="4"/>
    <n v="30"/>
    <n v="120"/>
    <n v="120"/>
    <x v="3"/>
    <x v="7"/>
  </r>
  <r>
    <n v="123"/>
    <d v="2023-05-15T00:00:00"/>
    <x v="122"/>
    <x v="1"/>
    <n v="40"/>
    <x v="2"/>
    <n v="2"/>
    <n v="30"/>
    <n v="60"/>
    <n v="60"/>
    <x v="2"/>
    <x v="3"/>
  </r>
  <r>
    <n v="124"/>
    <d v="2023-10-27T00:00:00"/>
    <x v="123"/>
    <x v="0"/>
    <n v="33"/>
    <x v="1"/>
    <n v="4"/>
    <n v="500"/>
    <n v="2000"/>
    <n v="2000"/>
    <x v="0"/>
    <x v="7"/>
  </r>
  <r>
    <n v="125"/>
    <d v="2023-08-08T00:00:00"/>
    <x v="124"/>
    <x v="0"/>
    <n v="48"/>
    <x v="1"/>
    <n v="2"/>
    <n v="50"/>
    <n v="100"/>
    <n v="100"/>
    <x v="1"/>
    <x v="8"/>
  </r>
  <r>
    <n v="126"/>
    <d v="2023-10-26T00:00:00"/>
    <x v="125"/>
    <x v="1"/>
    <n v="28"/>
    <x v="1"/>
    <n v="3"/>
    <n v="30"/>
    <n v="90"/>
    <n v="90"/>
    <x v="0"/>
    <x v="7"/>
  </r>
  <r>
    <n v="127"/>
    <d v="2023-07-24T00:00:00"/>
    <x v="126"/>
    <x v="1"/>
    <n v="33"/>
    <x v="1"/>
    <n v="2"/>
    <n v="25"/>
    <n v="50"/>
    <n v="50"/>
    <x v="0"/>
    <x v="11"/>
  </r>
  <r>
    <n v="128"/>
    <d v="2023-07-05T00:00:00"/>
    <x v="127"/>
    <x v="0"/>
    <n v="25"/>
    <x v="0"/>
    <n v="1"/>
    <n v="500"/>
    <n v="500"/>
    <n v="500"/>
    <x v="0"/>
    <x v="11"/>
  </r>
  <r>
    <n v="129"/>
    <d v="2023-04-23T00:00:00"/>
    <x v="128"/>
    <x v="1"/>
    <n v="21"/>
    <x v="0"/>
    <n v="2"/>
    <n v="300"/>
    <n v="600"/>
    <n v="600"/>
    <x v="4"/>
    <x v="4"/>
  </r>
  <r>
    <n v="130"/>
    <d v="2023-03-12T00:00:00"/>
    <x v="129"/>
    <x v="1"/>
    <n v="57"/>
    <x v="1"/>
    <n v="1"/>
    <n v="500"/>
    <n v="500"/>
    <n v="500"/>
    <x v="3"/>
    <x v="5"/>
  </r>
  <r>
    <n v="131"/>
    <d v="2023-09-18T00:00:00"/>
    <x v="130"/>
    <x v="1"/>
    <n v="21"/>
    <x v="0"/>
    <n v="2"/>
    <n v="300"/>
    <n v="600"/>
    <n v="600"/>
    <x v="4"/>
    <x v="9"/>
  </r>
  <r>
    <n v="132"/>
    <d v="2023-09-10T00:00:00"/>
    <x v="131"/>
    <x v="0"/>
    <n v="42"/>
    <x v="2"/>
    <n v="4"/>
    <n v="50"/>
    <n v="200"/>
    <n v="200"/>
    <x v="2"/>
    <x v="9"/>
  </r>
  <r>
    <n v="133"/>
    <d v="2023-02-16T00:00:00"/>
    <x v="132"/>
    <x v="0"/>
    <n v="20"/>
    <x v="2"/>
    <n v="3"/>
    <n v="300"/>
    <n v="900"/>
    <n v="900"/>
    <x v="4"/>
    <x v="1"/>
  </r>
  <r>
    <n v="134"/>
    <d v="2023-01-25T00:00:00"/>
    <x v="133"/>
    <x v="0"/>
    <n v="49"/>
    <x v="2"/>
    <n v="1"/>
    <n v="50"/>
    <n v="50"/>
    <n v="50"/>
    <x v="1"/>
    <x v="2"/>
  </r>
  <r>
    <n v="135"/>
    <d v="2023-02-26T00:00:00"/>
    <x v="134"/>
    <x v="0"/>
    <n v="20"/>
    <x v="1"/>
    <n v="2"/>
    <n v="25"/>
    <n v="50"/>
    <n v="50"/>
    <x v="4"/>
    <x v="1"/>
  </r>
  <r>
    <n v="136"/>
    <d v="2023-03-20T00:00:00"/>
    <x v="135"/>
    <x v="0"/>
    <n v="44"/>
    <x v="2"/>
    <n v="2"/>
    <n v="300"/>
    <n v="600"/>
    <n v="600"/>
    <x v="2"/>
    <x v="5"/>
  </r>
  <r>
    <n v="137"/>
    <d v="2023-11-18T00:00:00"/>
    <x v="136"/>
    <x v="0"/>
    <n v="46"/>
    <x v="0"/>
    <n v="2"/>
    <n v="500"/>
    <n v="1000"/>
    <n v="1000"/>
    <x v="1"/>
    <x v="0"/>
  </r>
  <r>
    <n v="138"/>
    <d v="2023-03-23T00:00:00"/>
    <x v="137"/>
    <x v="0"/>
    <n v="49"/>
    <x v="1"/>
    <n v="4"/>
    <n v="50"/>
    <n v="200"/>
    <n v="200"/>
    <x v="1"/>
    <x v="5"/>
  </r>
  <r>
    <n v="139"/>
    <d v="2023-12-15T00:00:00"/>
    <x v="138"/>
    <x v="0"/>
    <n v="36"/>
    <x v="0"/>
    <n v="4"/>
    <n v="500"/>
    <n v="2000"/>
    <n v="2000"/>
    <x v="2"/>
    <x v="6"/>
  </r>
  <r>
    <n v="140"/>
    <d v="2023-08-05T00:00:00"/>
    <x v="139"/>
    <x v="0"/>
    <n v="38"/>
    <x v="2"/>
    <n v="1"/>
    <n v="30"/>
    <n v="30"/>
    <n v="30"/>
    <x v="2"/>
    <x v="8"/>
  </r>
  <r>
    <n v="141"/>
    <d v="2023-11-02T00:00:00"/>
    <x v="140"/>
    <x v="1"/>
    <n v="22"/>
    <x v="2"/>
    <n v="1"/>
    <n v="50"/>
    <n v="50"/>
    <n v="50"/>
    <x v="4"/>
    <x v="0"/>
  </r>
  <r>
    <n v="142"/>
    <d v="2023-02-02T00:00:00"/>
    <x v="141"/>
    <x v="0"/>
    <n v="35"/>
    <x v="2"/>
    <n v="4"/>
    <n v="300"/>
    <n v="1200"/>
    <n v="1200"/>
    <x v="2"/>
    <x v="1"/>
  </r>
  <r>
    <n v="143"/>
    <d v="2023-07-17T00:00:00"/>
    <x v="142"/>
    <x v="1"/>
    <n v="45"/>
    <x v="1"/>
    <n v="1"/>
    <n v="50"/>
    <n v="50"/>
    <n v="50"/>
    <x v="1"/>
    <x v="11"/>
  </r>
  <r>
    <n v="144"/>
    <d v="2023-07-15T00:00:00"/>
    <x v="143"/>
    <x v="1"/>
    <n v="59"/>
    <x v="0"/>
    <n v="3"/>
    <n v="500"/>
    <n v="1500"/>
    <n v="1500"/>
    <x v="3"/>
    <x v="11"/>
  </r>
  <r>
    <n v="145"/>
    <d v="2023-11-02T00:00:00"/>
    <x v="144"/>
    <x v="1"/>
    <n v="39"/>
    <x v="1"/>
    <n v="3"/>
    <n v="25"/>
    <n v="75"/>
    <n v="75"/>
    <x v="2"/>
    <x v="0"/>
  </r>
  <r>
    <n v="146"/>
    <d v="2023-08-28T00:00:00"/>
    <x v="145"/>
    <x v="0"/>
    <n v="38"/>
    <x v="1"/>
    <n v="4"/>
    <n v="50"/>
    <n v="200"/>
    <n v="200"/>
    <x v="2"/>
    <x v="8"/>
  </r>
  <r>
    <n v="147"/>
    <d v="2023-09-28T00:00:00"/>
    <x v="146"/>
    <x v="0"/>
    <n v="23"/>
    <x v="2"/>
    <n v="1"/>
    <n v="300"/>
    <n v="300"/>
    <n v="300"/>
    <x v="4"/>
    <x v="9"/>
  </r>
  <r>
    <n v="148"/>
    <d v="2023-05-09T00:00:00"/>
    <x v="147"/>
    <x v="0"/>
    <n v="18"/>
    <x v="1"/>
    <n v="2"/>
    <n v="30"/>
    <n v="60"/>
    <n v="60"/>
    <x v="4"/>
    <x v="3"/>
  </r>
  <r>
    <n v="149"/>
    <d v="2023-10-11T00:00:00"/>
    <x v="148"/>
    <x v="0"/>
    <n v="22"/>
    <x v="1"/>
    <n v="3"/>
    <n v="25"/>
    <n v="75"/>
    <n v="75"/>
    <x v="4"/>
    <x v="7"/>
  </r>
  <r>
    <n v="150"/>
    <d v="2023-01-06T00:00:00"/>
    <x v="149"/>
    <x v="1"/>
    <n v="58"/>
    <x v="2"/>
    <n v="4"/>
    <n v="30"/>
    <n v="120"/>
    <n v="120"/>
    <x v="3"/>
    <x v="2"/>
  </r>
  <r>
    <n v="151"/>
    <d v="2023-12-15T00:00:00"/>
    <x v="150"/>
    <x v="0"/>
    <n v="29"/>
    <x v="1"/>
    <n v="1"/>
    <n v="50"/>
    <n v="50"/>
    <n v="50"/>
    <x v="0"/>
    <x v="6"/>
  </r>
  <r>
    <n v="152"/>
    <d v="2023-02-28T00:00:00"/>
    <x v="151"/>
    <x v="0"/>
    <n v="43"/>
    <x v="2"/>
    <n v="4"/>
    <n v="500"/>
    <n v="2000"/>
    <n v="2000"/>
    <x v="2"/>
    <x v="1"/>
  </r>
  <r>
    <n v="153"/>
    <d v="2023-12-16T00:00:00"/>
    <x v="152"/>
    <x v="0"/>
    <n v="63"/>
    <x v="2"/>
    <n v="2"/>
    <n v="500"/>
    <n v="1000"/>
    <n v="1000"/>
    <x v="3"/>
    <x v="6"/>
  </r>
  <r>
    <n v="154"/>
    <d v="2023-10-02T00:00:00"/>
    <x v="153"/>
    <x v="0"/>
    <n v="51"/>
    <x v="2"/>
    <n v="3"/>
    <n v="300"/>
    <n v="900"/>
    <n v="900"/>
    <x v="1"/>
    <x v="7"/>
  </r>
  <r>
    <n v="155"/>
    <d v="2023-05-17T00:00:00"/>
    <x v="154"/>
    <x v="0"/>
    <n v="31"/>
    <x v="2"/>
    <n v="4"/>
    <n v="500"/>
    <n v="2000"/>
    <n v="2000"/>
    <x v="0"/>
    <x v="3"/>
  </r>
  <r>
    <n v="156"/>
    <d v="2023-11-25T00:00:00"/>
    <x v="155"/>
    <x v="1"/>
    <n v="43"/>
    <x v="1"/>
    <n v="4"/>
    <n v="25"/>
    <n v="100"/>
    <n v="100"/>
    <x v="2"/>
    <x v="0"/>
  </r>
  <r>
    <n v="157"/>
    <d v="2023-06-24T00:00:00"/>
    <x v="156"/>
    <x v="0"/>
    <n v="62"/>
    <x v="2"/>
    <n v="4"/>
    <n v="500"/>
    <n v="2000"/>
    <n v="2000"/>
    <x v="3"/>
    <x v="10"/>
  </r>
  <r>
    <n v="158"/>
    <d v="2023-02-27T00:00:00"/>
    <x v="157"/>
    <x v="1"/>
    <n v="44"/>
    <x v="2"/>
    <n v="2"/>
    <n v="300"/>
    <n v="600"/>
    <n v="600"/>
    <x v="2"/>
    <x v="1"/>
  </r>
  <r>
    <n v="159"/>
    <d v="2023-05-31T00:00:00"/>
    <x v="158"/>
    <x v="0"/>
    <n v="26"/>
    <x v="1"/>
    <n v="4"/>
    <n v="50"/>
    <n v="200"/>
    <n v="200"/>
    <x v="0"/>
    <x v="3"/>
  </r>
  <r>
    <n v="160"/>
    <d v="2023-08-11T00:00:00"/>
    <x v="159"/>
    <x v="1"/>
    <n v="43"/>
    <x v="1"/>
    <n v="2"/>
    <n v="50"/>
    <n v="100"/>
    <n v="100"/>
    <x v="2"/>
    <x v="8"/>
  </r>
  <r>
    <n v="161"/>
    <d v="2023-03-22T00:00:00"/>
    <x v="160"/>
    <x v="0"/>
    <n v="64"/>
    <x v="0"/>
    <n v="2"/>
    <n v="500"/>
    <n v="1000"/>
    <n v="1000"/>
    <x v="3"/>
    <x v="5"/>
  </r>
  <r>
    <n v="162"/>
    <d v="2023-08-21T00:00:00"/>
    <x v="161"/>
    <x v="0"/>
    <n v="39"/>
    <x v="1"/>
    <n v="2"/>
    <n v="30"/>
    <n v="60"/>
    <n v="60"/>
    <x v="2"/>
    <x v="8"/>
  </r>
  <r>
    <n v="163"/>
    <d v="2023-01-02T00:00:00"/>
    <x v="162"/>
    <x v="1"/>
    <n v="64"/>
    <x v="1"/>
    <n v="3"/>
    <n v="50"/>
    <n v="150"/>
    <n v="150"/>
    <x v="3"/>
    <x v="2"/>
  </r>
  <r>
    <n v="164"/>
    <d v="2023-05-15T00:00:00"/>
    <x v="163"/>
    <x v="1"/>
    <n v="47"/>
    <x v="0"/>
    <n v="3"/>
    <n v="500"/>
    <n v="1500"/>
    <n v="1500"/>
    <x v="1"/>
    <x v="3"/>
  </r>
  <r>
    <n v="165"/>
    <d v="2023-09-14T00:00:00"/>
    <x v="164"/>
    <x v="1"/>
    <n v="60"/>
    <x v="1"/>
    <n v="4"/>
    <n v="300"/>
    <n v="1200"/>
    <n v="1200"/>
    <x v="3"/>
    <x v="9"/>
  </r>
  <r>
    <n v="166"/>
    <d v="2023-04-02T00:00:00"/>
    <x v="165"/>
    <x v="0"/>
    <n v="34"/>
    <x v="1"/>
    <n v="4"/>
    <n v="500"/>
    <n v="2000"/>
    <n v="2000"/>
    <x v="0"/>
    <x v="4"/>
  </r>
  <r>
    <n v="167"/>
    <d v="2023-09-17T00:00:00"/>
    <x v="166"/>
    <x v="1"/>
    <n v="43"/>
    <x v="1"/>
    <n v="3"/>
    <n v="50"/>
    <n v="150"/>
    <n v="150"/>
    <x v="2"/>
    <x v="9"/>
  </r>
  <r>
    <n v="168"/>
    <d v="2023-02-24T00:00:00"/>
    <x v="167"/>
    <x v="0"/>
    <n v="53"/>
    <x v="1"/>
    <n v="1"/>
    <n v="300"/>
    <n v="300"/>
    <n v="300"/>
    <x v="1"/>
    <x v="1"/>
  </r>
  <r>
    <n v="169"/>
    <d v="2023-11-17T00:00:00"/>
    <x v="168"/>
    <x v="0"/>
    <n v="18"/>
    <x v="0"/>
    <n v="3"/>
    <n v="500"/>
    <n v="1500"/>
    <n v="1500"/>
    <x v="4"/>
    <x v="0"/>
  </r>
  <r>
    <n v="170"/>
    <d v="2023-06-02T00:00:00"/>
    <x v="169"/>
    <x v="1"/>
    <n v="25"/>
    <x v="1"/>
    <n v="2"/>
    <n v="25"/>
    <n v="50"/>
    <n v="50"/>
    <x v="0"/>
    <x v="10"/>
  </r>
  <r>
    <n v="171"/>
    <d v="2023-11-24T00:00:00"/>
    <x v="170"/>
    <x v="1"/>
    <n v="52"/>
    <x v="1"/>
    <n v="3"/>
    <n v="300"/>
    <n v="900"/>
    <n v="900"/>
    <x v="1"/>
    <x v="0"/>
  </r>
  <r>
    <n v="172"/>
    <d v="2023-09-17T00:00:00"/>
    <x v="171"/>
    <x v="0"/>
    <n v="32"/>
    <x v="0"/>
    <n v="2"/>
    <n v="25"/>
    <n v="50"/>
    <n v="50"/>
    <x v="0"/>
    <x v="9"/>
  </r>
  <r>
    <n v="173"/>
    <d v="2023-11-08T00:00:00"/>
    <x v="172"/>
    <x v="0"/>
    <n v="64"/>
    <x v="2"/>
    <n v="4"/>
    <n v="30"/>
    <n v="120"/>
    <n v="120"/>
    <x v="3"/>
    <x v="0"/>
  </r>
  <r>
    <n v="174"/>
    <d v="2023-04-12T00:00:00"/>
    <x v="173"/>
    <x v="1"/>
    <n v="39"/>
    <x v="0"/>
    <n v="1"/>
    <n v="300"/>
    <n v="300"/>
    <n v="300"/>
    <x v="2"/>
    <x v="4"/>
  </r>
  <r>
    <n v="175"/>
    <d v="2023-03-20T00:00:00"/>
    <x v="174"/>
    <x v="1"/>
    <n v="31"/>
    <x v="2"/>
    <n v="4"/>
    <n v="25"/>
    <n v="100"/>
    <n v="100"/>
    <x v="0"/>
    <x v="5"/>
  </r>
  <r>
    <n v="176"/>
    <d v="2023-07-11T00:00:00"/>
    <x v="175"/>
    <x v="1"/>
    <n v="43"/>
    <x v="0"/>
    <n v="2"/>
    <n v="50"/>
    <n v="100"/>
    <n v="100"/>
    <x v="2"/>
    <x v="11"/>
  </r>
  <r>
    <n v="177"/>
    <d v="2023-03-24T00:00:00"/>
    <x v="176"/>
    <x v="0"/>
    <n v="45"/>
    <x v="0"/>
    <n v="2"/>
    <n v="50"/>
    <n v="100"/>
    <n v="100"/>
    <x v="1"/>
    <x v="5"/>
  </r>
  <r>
    <n v="178"/>
    <d v="2023-10-04T00:00:00"/>
    <x v="177"/>
    <x v="0"/>
    <n v="40"/>
    <x v="1"/>
    <n v="2"/>
    <n v="30"/>
    <n v="60"/>
    <n v="60"/>
    <x v="2"/>
    <x v="7"/>
  </r>
  <r>
    <n v="179"/>
    <d v="2023-09-29T00:00:00"/>
    <x v="178"/>
    <x v="0"/>
    <n v="31"/>
    <x v="2"/>
    <n v="1"/>
    <n v="300"/>
    <n v="300"/>
    <n v="300"/>
    <x v="0"/>
    <x v="9"/>
  </r>
  <r>
    <n v="180"/>
    <d v="2023-01-01T00:00:00"/>
    <x v="179"/>
    <x v="0"/>
    <n v="41"/>
    <x v="1"/>
    <n v="3"/>
    <n v="300"/>
    <n v="900"/>
    <n v="900"/>
    <x v="2"/>
    <x v="2"/>
  </r>
  <r>
    <n v="181"/>
    <d v="2023-11-03T00:00:00"/>
    <x v="180"/>
    <x v="0"/>
    <n v="19"/>
    <x v="2"/>
    <n v="4"/>
    <n v="300"/>
    <n v="1200"/>
    <n v="1200"/>
    <x v="4"/>
    <x v="0"/>
  </r>
  <r>
    <n v="182"/>
    <d v="2023-06-15T00:00:00"/>
    <x v="181"/>
    <x v="0"/>
    <n v="62"/>
    <x v="0"/>
    <n v="4"/>
    <n v="30"/>
    <n v="120"/>
    <n v="120"/>
    <x v="3"/>
    <x v="10"/>
  </r>
  <r>
    <n v="183"/>
    <d v="2023-09-08T00:00:00"/>
    <x v="182"/>
    <x v="1"/>
    <n v="43"/>
    <x v="0"/>
    <n v="3"/>
    <n v="300"/>
    <n v="900"/>
    <n v="900"/>
    <x v="2"/>
    <x v="9"/>
  </r>
  <r>
    <n v="184"/>
    <d v="2023-01-10T00:00:00"/>
    <x v="183"/>
    <x v="0"/>
    <n v="31"/>
    <x v="2"/>
    <n v="4"/>
    <n v="50"/>
    <n v="200"/>
    <n v="200"/>
    <x v="0"/>
    <x v="2"/>
  </r>
  <r>
    <n v="185"/>
    <d v="2023-02-27T00:00:00"/>
    <x v="184"/>
    <x v="0"/>
    <n v="24"/>
    <x v="1"/>
    <n v="1"/>
    <n v="25"/>
    <n v="25"/>
    <n v="25"/>
    <x v="4"/>
    <x v="1"/>
  </r>
  <r>
    <n v="186"/>
    <d v="2023-07-05T00:00:00"/>
    <x v="185"/>
    <x v="0"/>
    <n v="20"/>
    <x v="1"/>
    <n v="4"/>
    <n v="50"/>
    <n v="200"/>
    <n v="200"/>
    <x v="4"/>
    <x v="11"/>
  </r>
  <r>
    <n v="187"/>
    <d v="2023-06-07T00:00:00"/>
    <x v="186"/>
    <x v="1"/>
    <n v="64"/>
    <x v="1"/>
    <n v="2"/>
    <n v="50"/>
    <n v="100"/>
    <n v="100"/>
    <x v="3"/>
    <x v="10"/>
  </r>
  <r>
    <n v="188"/>
    <d v="2023-05-03T00:00:00"/>
    <x v="187"/>
    <x v="0"/>
    <n v="40"/>
    <x v="1"/>
    <n v="3"/>
    <n v="25"/>
    <n v="75"/>
    <n v="75"/>
    <x v="2"/>
    <x v="3"/>
  </r>
  <r>
    <n v="189"/>
    <d v="2023-01-30T00:00:00"/>
    <x v="188"/>
    <x v="0"/>
    <n v="63"/>
    <x v="0"/>
    <n v="1"/>
    <n v="50"/>
    <n v="50"/>
    <n v="50"/>
    <x v="3"/>
    <x v="2"/>
  </r>
  <r>
    <n v="190"/>
    <d v="2023-05-04T00:00:00"/>
    <x v="189"/>
    <x v="1"/>
    <n v="60"/>
    <x v="0"/>
    <n v="3"/>
    <n v="30"/>
    <n v="90"/>
    <n v="90"/>
    <x v="3"/>
    <x v="3"/>
  </r>
  <r>
    <n v="191"/>
    <d v="2023-10-18T00:00:00"/>
    <x v="190"/>
    <x v="0"/>
    <n v="64"/>
    <x v="0"/>
    <n v="1"/>
    <n v="25"/>
    <n v="25"/>
    <n v="25"/>
    <x v="3"/>
    <x v="7"/>
  </r>
  <r>
    <n v="192"/>
    <d v="2023-02-10T00:00:00"/>
    <x v="191"/>
    <x v="0"/>
    <n v="62"/>
    <x v="0"/>
    <n v="2"/>
    <n v="50"/>
    <n v="100"/>
    <n v="100"/>
    <x v="3"/>
    <x v="1"/>
  </r>
  <r>
    <n v="193"/>
    <d v="2023-02-13T00:00:00"/>
    <x v="192"/>
    <x v="0"/>
    <n v="35"/>
    <x v="0"/>
    <n v="3"/>
    <n v="500"/>
    <n v="1500"/>
    <n v="1500"/>
    <x v="2"/>
    <x v="1"/>
  </r>
  <r>
    <n v="194"/>
    <d v="2023-09-06T00:00:00"/>
    <x v="193"/>
    <x v="0"/>
    <n v="55"/>
    <x v="1"/>
    <n v="4"/>
    <n v="50"/>
    <n v="200"/>
    <n v="200"/>
    <x v="3"/>
    <x v="9"/>
  </r>
  <r>
    <n v="195"/>
    <d v="2023-02-05T00:00:00"/>
    <x v="194"/>
    <x v="0"/>
    <n v="52"/>
    <x v="1"/>
    <n v="1"/>
    <n v="30"/>
    <n v="30"/>
    <n v="30"/>
    <x v="1"/>
    <x v="1"/>
  </r>
  <r>
    <n v="196"/>
    <d v="2023-09-30T00:00:00"/>
    <x v="195"/>
    <x v="1"/>
    <n v="32"/>
    <x v="1"/>
    <n v="3"/>
    <n v="300"/>
    <n v="900"/>
    <n v="900"/>
    <x v="0"/>
    <x v="9"/>
  </r>
  <r>
    <n v="197"/>
    <d v="2023-03-06T00:00:00"/>
    <x v="196"/>
    <x v="1"/>
    <n v="42"/>
    <x v="1"/>
    <n v="4"/>
    <n v="50"/>
    <n v="200"/>
    <n v="200"/>
    <x v="2"/>
    <x v="5"/>
  </r>
  <r>
    <n v="198"/>
    <d v="2023-03-07T00:00:00"/>
    <x v="197"/>
    <x v="1"/>
    <n v="54"/>
    <x v="0"/>
    <n v="3"/>
    <n v="300"/>
    <n v="900"/>
    <n v="900"/>
    <x v="1"/>
    <x v="5"/>
  </r>
  <r>
    <n v="199"/>
    <d v="2023-12-04T00:00:00"/>
    <x v="198"/>
    <x v="0"/>
    <n v="45"/>
    <x v="0"/>
    <n v="3"/>
    <n v="500"/>
    <n v="1500"/>
    <n v="1500"/>
    <x v="1"/>
    <x v="6"/>
  </r>
  <r>
    <n v="200"/>
    <d v="2023-09-01T00:00:00"/>
    <x v="199"/>
    <x v="0"/>
    <n v="27"/>
    <x v="0"/>
    <n v="3"/>
    <n v="50"/>
    <n v="150"/>
    <n v="150"/>
    <x v="0"/>
    <x v="9"/>
  </r>
  <r>
    <n v="201"/>
    <d v="2023-10-09T00:00:00"/>
    <x v="200"/>
    <x v="0"/>
    <n v="56"/>
    <x v="2"/>
    <n v="1"/>
    <n v="25"/>
    <n v="25"/>
    <n v="25"/>
    <x v="3"/>
    <x v="7"/>
  </r>
  <r>
    <n v="202"/>
    <d v="2023-03-26T00:00:00"/>
    <x v="201"/>
    <x v="1"/>
    <n v="34"/>
    <x v="1"/>
    <n v="4"/>
    <n v="300"/>
    <n v="1200"/>
    <n v="1200"/>
    <x v="0"/>
    <x v="5"/>
  </r>
  <r>
    <n v="203"/>
    <d v="2023-05-16T00:00:00"/>
    <x v="202"/>
    <x v="0"/>
    <n v="56"/>
    <x v="1"/>
    <n v="2"/>
    <n v="500"/>
    <n v="1000"/>
    <n v="1000"/>
    <x v="3"/>
    <x v="3"/>
  </r>
  <r>
    <n v="204"/>
    <d v="2023-09-28T00:00:00"/>
    <x v="203"/>
    <x v="0"/>
    <n v="39"/>
    <x v="0"/>
    <n v="1"/>
    <n v="25"/>
    <n v="25"/>
    <n v="25"/>
    <x v="2"/>
    <x v="9"/>
  </r>
  <r>
    <n v="205"/>
    <d v="2023-11-07T00:00:00"/>
    <x v="204"/>
    <x v="1"/>
    <n v="43"/>
    <x v="1"/>
    <n v="1"/>
    <n v="25"/>
    <n v="25"/>
    <n v="25"/>
    <x v="2"/>
    <x v="0"/>
  </r>
  <r>
    <n v="206"/>
    <d v="2023-08-05T00:00:00"/>
    <x v="205"/>
    <x v="0"/>
    <n v="61"/>
    <x v="1"/>
    <n v="1"/>
    <n v="25"/>
    <n v="25"/>
    <n v="25"/>
    <x v="3"/>
    <x v="8"/>
  </r>
  <r>
    <n v="207"/>
    <d v="2023-04-19T00:00:00"/>
    <x v="206"/>
    <x v="1"/>
    <n v="42"/>
    <x v="0"/>
    <n v="2"/>
    <n v="25"/>
    <n v="50"/>
    <n v="50"/>
    <x v="2"/>
    <x v="4"/>
  </r>
  <r>
    <n v="208"/>
    <d v="2023-10-04T00:00:00"/>
    <x v="207"/>
    <x v="1"/>
    <n v="34"/>
    <x v="2"/>
    <n v="4"/>
    <n v="50"/>
    <n v="200"/>
    <n v="200"/>
    <x v="0"/>
    <x v="7"/>
  </r>
  <r>
    <n v="209"/>
    <d v="2023-12-20T00:00:00"/>
    <x v="208"/>
    <x v="1"/>
    <n v="30"/>
    <x v="2"/>
    <n v="4"/>
    <n v="50"/>
    <n v="200"/>
    <n v="200"/>
    <x v="0"/>
    <x v="6"/>
  </r>
  <r>
    <n v="210"/>
    <d v="2023-04-13T00:00:00"/>
    <x v="209"/>
    <x v="0"/>
    <n v="37"/>
    <x v="2"/>
    <n v="4"/>
    <n v="50"/>
    <n v="200"/>
    <n v="200"/>
    <x v="2"/>
    <x v="4"/>
  </r>
  <r>
    <n v="211"/>
    <d v="2024-01-01T00:00:00"/>
    <x v="210"/>
    <x v="0"/>
    <n v="42"/>
    <x v="0"/>
    <n v="3"/>
    <n v="500"/>
    <n v="1500"/>
    <n v="1500"/>
    <x v="2"/>
    <x v="12"/>
  </r>
  <r>
    <n v="212"/>
    <d v="2023-06-09T00:00:00"/>
    <x v="211"/>
    <x v="0"/>
    <n v="21"/>
    <x v="1"/>
    <n v="3"/>
    <n v="500"/>
    <n v="1500"/>
    <n v="1500"/>
    <x v="4"/>
    <x v="10"/>
  </r>
  <r>
    <n v="213"/>
    <d v="2023-07-24T00:00:00"/>
    <x v="212"/>
    <x v="0"/>
    <n v="27"/>
    <x v="0"/>
    <n v="3"/>
    <n v="500"/>
    <n v="1500"/>
    <n v="1500"/>
    <x v="0"/>
    <x v="11"/>
  </r>
  <r>
    <n v="214"/>
    <d v="2023-12-10T00:00:00"/>
    <x v="213"/>
    <x v="0"/>
    <n v="20"/>
    <x v="0"/>
    <n v="2"/>
    <n v="30"/>
    <n v="60"/>
    <n v="60"/>
    <x v="4"/>
    <x v="6"/>
  </r>
  <r>
    <n v="215"/>
    <d v="2023-11-29T00:00:00"/>
    <x v="214"/>
    <x v="0"/>
    <n v="58"/>
    <x v="1"/>
    <n v="3"/>
    <n v="500"/>
    <n v="1500"/>
    <n v="1500"/>
    <x v="3"/>
    <x v="0"/>
  </r>
  <r>
    <n v="216"/>
    <d v="2023-07-11T00:00:00"/>
    <x v="215"/>
    <x v="0"/>
    <n v="62"/>
    <x v="2"/>
    <n v="2"/>
    <n v="50"/>
    <n v="100"/>
    <n v="100"/>
    <x v="3"/>
    <x v="11"/>
  </r>
  <r>
    <n v="217"/>
    <d v="2023-08-13T00:00:00"/>
    <x v="216"/>
    <x v="1"/>
    <n v="35"/>
    <x v="2"/>
    <n v="4"/>
    <n v="50"/>
    <n v="200"/>
    <n v="200"/>
    <x v="2"/>
    <x v="8"/>
  </r>
  <r>
    <n v="218"/>
    <d v="2023-09-22T00:00:00"/>
    <x v="217"/>
    <x v="0"/>
    <n v="64"/>
    <x v="0"/>
    <n v="3"/>
    <n v="30"/>
    <n v="90"/>
    <n v="90"/>
    <x v="3"/>
    <x v="9"/>
  </r>
  <r>
    <n v="219"/>
    <d v="2023-08-20T00:00:00"/>
    <x v="218"/>
    <x v="1"/>
    <n v="53"/>
    <x v="2"/>
    <n v="3"/>
    <n v="30"/>
    <n v="90"/>
    <n v="90"/>
    <x v="1"/>
    <x v="8"/>
  </r>
  <r>
    <n v="220"/>
    <d v="2023-03-03T00:00:00"/>
    <x v="219"/>
    <x v="0"/>
    <n v="64"/>
    <x v="0"/>
    <n v="1"/>
    <n v="500"/>
    <n v="500"/>
    <n v="500"/>
    <x v="3"/>
    <x v="5"/>
  </r>
  <r>
    <n v="221"/>
    <d v="2023-05-07T00:00:00"/>
    <x v="220"/>
    <x v="0"/>
    <n v="39"/>
    <x v="0"/>
    <n v="2"/>
    <n v="300"/>
    <n v="600"/>
    <n v="600"/>
    <x v="2"/>
    <x v="3"/>
  </r>
  <r>
    <n v="222"/>
    <d v="2023-04-26T00:00:00"/>
    <x v="221"/>
    <x v="0"/>
    <n v="51"/>
    <x v="1"/>
    <n v="4"/>
    <n v="30"/>
    <n v="120"/>
    <n v="120"/>
    <x v="1"/>
    <x v="4"/>
  </r>
  <r>
    <n v="223"/>
    <d v="2023-02-02T00:00:00"/>
    <x v="222"/>
    <x v="1"/>
    <n v="64"/>
    <x v="1"/>
    <n v="1"/>
    <n v="25"/>
    <n v="25"/>
    <n v="25"/>
    <x v="3"/>
    <x v="1"/>
  </r>
  <r>
    <n v="224"/>
    <d v="2023-06-23T00:00:00"/>
    <x v="223"/>
    <x v="1"/>
    <n v="25"/>
    <x v="1"/>
    <n v="1"/>
    <n v="50"/>
    <n v="50"/>
    <n v="50"/>
    <x v="0"/>
    <x v="10"/>
  </r>
  <r>
    <n v="225"/>
    <d v="2023-01-11T00:00:00"/>
    <x v="224"/>
    <x v="1"/>
    <n v="57"/>
    <x v="0"/>
    <n v="4"/>
    <n v="25"/>
    <n v="100"/>
    <n v="100"/>
    <x v="3"/>
    <x v="2"/>
  </r>
  <r>
    <n v="226"/>
    <d v="2023-10-29T00:00:00"/>
    <x v="225"/>
    <x v="1"/>
    <n v="61"/>
    <x v="1"/>
    <n v="1"/>
    <n v="50"/>
    <n v="50"/>
    <n v="50"/>
    <x v="3"/>
    <x v="7"/>
  </r>
  <r>
    <n v="227"/>
    <d v="2023-10-11T00:00:00"/>
    <x v="226"/>
    <x v="0"/>
    <n v="36"/>
    <x v="2"/>
    <n v="2"/>
    <n v="50"/>
    <n v="100"/>
    <n v="100"/>
    <x v="2"/>
    <x v="7"/>
  </r>
  <r>
    <n v="228"/>
    <d v="2023-04-28T00:00:00"/>
    <x v="227"/>
    <x v="1"/>
    <n v="59"/>
    <x v="2"/>
    <n v="2"/>
    <n v="30"/>
    <n v="60"/>
    <n v="60"/>
    <x v="3"/>
    <x v="4"/>
  </r>
  <r>
    <n v="229"/>
    <d v="2023-10-29T00:00:00"/>
    <x v="228"/>
    <x v="0"/>
    <n v="58"/>
    <x v="0"/>
    <n v="3"/>
    <n v="30"/>
    <n v="90"/>
    <n v="90"/>
    <x v="3"/>
    <x v="7"/>
  </r>
  <r>
    <n v="230"/>
    <d v="2023-04-23T00:00:00"/>
    <x v="229"/>
    <x v="0"/>
    <n v="54"/>
    <x v="0"/>
    <n v="1"/>
    <n v="25"/>
    <n v="25"/>
    <n v="25"/>
    <x v="1"/>
    <x v="4"/>
  </r>
  <r>
    <n v="231"/>
    <d v="2023-01-04T00:00:00"/>
    <x v="230"/>
    <x v="1"/>
    <n v="23"/>
    <x v="1"/>
    <n v="3"/>
    <n v="50"/>
    <n v="150"/>
    <n v="150"/>
    <x v="4"/>
    <x v="2"/>
  </r>
  <r>
    <n v="232"/>
    <d v="2023-02-06T00:00:00"/>
    <x v="231"/>
    <x v="1"/>
    <n v="43"/>
    <x v="0"/>
    <n v="1"/>
    <n v="25"/>
    <n v="25"/>
    <n v="25"/>
    <x v="2"/>
    <x v="1"/>
  </r>
  <r>
    <n v="233"/>
    <d v="2023-12-29T00:00:00"/>
    <x v="232"/>
    <x v="1"/>
    <n v="51"/>
    <x v="0"/>
    <n v="2"/>
    <n v="300"/>
    <n v="600"/>
    <n v="600"/>
    <x v="1"/>
    <x v="6"/>
  </r>
  <r>
    <n v="234"/>
    <d v="2023-11-20T00:00:00"/>
    <x v="233"/>
    <x v="1"/>
    <n v="62"/>
    <x v="2"/>
    <n v="2"/>
    <n v="25"/>
    <n v="50"/>
    <n v="50"/>
    <x v="3"/>
    <x v="0"/>
  </r>
  <r>
    <n v="235"/>
    <d v="2023-01-31T00:00:00"/>
    <x v="234"/>
    <x v="1"/>
    <n v="23"/>
    <x v="2"/>
    <n v="2"/>
    <n v="500"/>
    <n v="1000"/>
    <n v="1000"/>
    <x v="4"/>
    <x v="2"/>
  </r>
  <r>
    <n v="236"/>
    <d v="2023-04-28T00:00:00"/>
    <x v="235"/>
    <x v="1"/>
    <n v="54"/>
    <x v="1"/>
    <n v="1"/>
    <n v="25"/>
    <n v="25"/>
    <n v="25"/>
    <x v="1"/>
    <x v="4"/>
  </r>
  <r>
    <n v="237"/>
    <d v="2023-02-04T00:00:00"/>
    <x v="236"/>
    <x v="1"/>
    <n v="50"/>
    <x v="0"/>
    <n v="2"/>
    <n v="500"/>
    <n v="1000"/>
    <n v="1000"/>
    <x v="1"/>
    <x v="1"/>
  </r>
  <r>
    <n v="238"/>
    <d v="2023-01-17T00:00:00"/>
    <x v="237"/>
    <x v="1"/>
    <n v="39"/>
    <x v="0"/>
    <n v="1"/>
    <n v="500"/>
    <n v="500"/>
    <n v="500"/>
    <x v="2"/>
    <x v="2"/>
  </r>
  <r>
    <n v="239"/>
    <d v="2023-06-19T00:00:00"/>
    <x v="238"/>
    <x v="0"/>
    <n v="38"/>
    <x v="2"/>
    <n v="3"/>
    <n v="500"/>
    <n v="1500"/>
    <n v="1500"/>
    <x v="2"/>
    <x v="10"/>
  </r>
  <r>
    <n v="240"/>
    <d v="2023-02-06T00:00:00"/>
    <x v="239"/>
    <x v="1"/>
    <n v="23"/>
    <x v="0"/>
    <n v="1"/>
    <n v="300"/>
    <n v="300"/>
    <n v="300"/>
    <x v="4"/>
    <x v="1"/>
  </r>
  <r>
    <n v="241"/>
    <d v="2023-09-21T00:00:00"/>
    <x v="240"/>
    <x v="1"/>
    <n v="23"/>
    <x v="2"/>
    <n v="3"/>
    <n v="25"/>
    <n v="75"/>
    <n v="75"/>
    <x v="4"/>
    <x v="9"/>
  </r>
  <r>
    <n v="242"/>
    <d v="2023-05-02T00:00:00"/>
    <x v="241"/>
    <x v="0"/>
    <n v="21"/>
    <x v="1"/>
    <n v="1"/>
    <n v="25"/>
    <n v="25"/>
    <n v="25"/>
    <x v="4"/>
    <x v="3"/>
  </r>
  <r>
    <n v="243"/>
    <d v="2023-05-23T00:00:00"/>
    <x v="242"/>
    <x v="1"/>
    <n v="47"/>
    <x v="2"/>
    <n v="3"/>
    <n v="300"/>
    <n v="900"/>
    <n v="900"/>
    <x v="1"/>
    <x v="3"/>
  </r>
  <r>
    <n v="244"/>
    <d v="2023-12-09T00:00:00"/>
    <x v="243"/>
    <x v="0"/>
    <n v="28"/>
    <x v="0"/>
    <n v="2"/>
    <n v="50"/>
    <n v="100"/>
    <n v="100"/>
    <x v="0"/>
    <x v="6"/>
  </r>
  <r>
    <n v="245"/>
    <d v="2023-09-06T00:00:00"/>
    <x v="244"/>
    <x v="0"/>
    <n v="47"/>
    <x v="1"/>
    <n v="3"/>
    <n v="30"/>
    <n v="90"/>
    <n v="90"/>
    <x v="1"/>
    <x v="9"/>
  </r>
  <r>
    <n v="246"/>
    <d v="2023-04-20T00:00:00"/>
    <x v="245"/>
    <x v="1"/>
    <n v="48"/>
    <x v="2"/>
    <n v="2"/>
    <n v="25"/>
    <n v="50"/>
    <n v="50"/>
    <x v="1"/>
    <x v="4"/>
  </r>
  <r>
    <n v="247"/>
    <d v="2023-10-04T00:00:00"/>
    <x v="246"/>
    <x v="0"/>
    <n v="41"/>
    <x v="2"/>
    <n v="2"/>
    <n v="30"/>
    <n v="60"/>
    <n v="60"/>
    <x v="2"/>
    <x v="7"/>
  </r>
  <r>
    <n v="248"/>
    <d v="2023-03-09T00:00:00"/>
    <x v="247"/>
    <x v="0"/>
    <n v="26"/>
    <x v="1"/>
    <n v="3"/>
    <n v="300"/>
    <n v="900"/>
    <n v="900"/>
    <x v="0"/>
    <x v="5"/>
  </r>
  <r>
    <n v="249"/>
    <d v="2023-10-20T00:00:00"/>
    <x v="248"/>
    <x v="0"/>
    <n v="20"/>
    <x v="1"/>
    <n v="1"/>
    <n v="50"/>
    <n v="50"/>
    <n v="50"/>
    <x v="4"/>
    <x v="7"/>
  </r>
  <r>
    <n v="250"/>
    <d v="2023-10-23T00:00:00"/>
    <x v="249"/>
    <x v="0"/>
    <n v="48"/>
    <x v="2"/>
    <n v="1"/>
    <n v="50"/>
    <n v="50"/>
    <n v="50"/>
    <x v="1"/>
    <x v="7"/>
  </r>
  <r>
    <n v="251"/>
    <d v="2023-08-31T00:00:00"/>
    <x v="250"/>
    <x v="1"/>
    <n v="57"/>
    <x v="0"/>
    <n v="4"/>
    <n v="50"/>
    <n v="200"/>
    <n v="200"/>
    <x v="3"/>
    <x v="8"/>
  </r>
  <r>
    <n v="252"/>
    <d v="2023-05-05T00:00:00"/>
    <x v="251"/>
    <x v="0"/>
    <n v="54"/>
    <x v="2"/>
    <n v="1"/>
    <n v="300"/>
    <n v="300"/>
    <n v="300"/>
    <x v="1"/>
    <x v="3"/>
  </r>
  <r>
    <n v="253"/>
    <d v="2023-08-31T00:00:00"/>
    <x v="252"/>
    <x v="1"/>
    <n v="53"/>
    <x v="1"/>
    <n v="4"/>
    <n v="500"/>
    <n v="2000"/>
    <n v="2000"/>
    <x v="1"/>
    <x v="8"/>
  </r>
  <r>
    <n v="254"/>
    <d v="2023-07-28T00:00:00"/>
    <x v="253"/>
    <x v="0"/>
    <n v="41"/>
    <x v="2"/>
    <n v="1"/>
    <n v="500"/>
    <n v="500"/>
    <n v="500"/>
    <x v="2"/>
    <x v="11"/>
  </r>
  <r>
    <n v="255"/>
    <d v="2023-04-08T00:00:00"/>
    <x v="254"/>
    <x v="0"/>
    <n v="48"/>
    <x v="1"/>
    <n v="1"/>
    <n v="30"/>
    <n v="30"/>
    <n v="30"/>
    <x v="1"/>
    <x v="4"/>
  </r>
  <r>
    <n v="256"/>
    <d v="2023-02-18T00:00:00"/>
    <x v="255"/>
    <x v="0"/>
    <n v="23"/>
    <x v="1"/>
    <n v="2"/>
    <n v="500"/>
    <n v="1000"/>
    <n v="1000"/>
    <x v="4"/>
    <x v="1"/>
  </r>
  <r>
    <n v="257"/>
    <d v="2023-02-19T00:00:00"/>
    <x v="256"/>
    <x v="0"/>
    <n v="19"/>
    <x v="0"/>
    <n v="4"/>
    <n v="500"/>
    <n v="2000"/>
    <n v="2000"/>
    <x v="4"/>
    <x v="1"/>
  </r>
  <r>
    <n v="258"/>
    <d v="2023-12-04T00:00:00"/>
    <x v="257"/>
    <x v="1"/>
    <n v="37"/>
    <x v="1"/>
    <n v="1"/>
    <n v="50"/>
    <n v="50"/>
    <n v="50"/>
    <x v="2"/>
    <x v="6"/>
  </r>
  <r>
    <n v="259"/>
    <d v="2023-08-09T00:00:00"/>
    <x v="258"/>
    <x v="1"/>
    <n v="45"/>
    <x v="1"/>
    <n v="4"/>
    <n v="50"/>
    <n v="200"/>
    <n v="200"/>
    <x v="1"/>
    <x v="8"/>
  </r>
  <r>
    <n v="260"/>
    <d v="2023-07-01T00:00:00"/>
    <x v="259"/>
    <x v="0"/>
    <n v="28"/>
    <x v="0"/>
    <n v="2"/>
    <n v="30"/>
    <n v="60"/>
    <n v="60"/>
    <x v="0"/>
    <x v="11"/>
  </r>
  <r>
    <n v="261"/>
    <d v="2023-08-05T00:00:00"/>
    <x v="260"/>
    <x v="0"/>
    <n v="21"/>
    <x v="1"/>
    <n v="2"/>
    <n v="25"/>
    <n v="50"/>
    <n v="50"/>
    <x v="4"/>
    <x v="8"/>
  </r>
  <r>
    <n v="262"/>
    <d v="2023-07-30T00:00:00"/>
    <x v="261"/>
    <x v="1"/>
    <n v="32"/>
    <x v="0"/>
    <n v="4"/>
    <n v="30"/>
    <n v="120"/>
    <n v="120"/>
    <x v="0"/>
    <x v="11"/>
  </r>
  <r>
    <n v="263"/>
    <d v="2023-08-28T00:00:00"/>
    <x v="262"/>
    <x v="0"/>
    <n v="23"/>
    <x v="0"/>
    <n v="2"/>
    <n v="30"/>
    <n v="60"/>
    <n v="60"/>
    <x v="4"/>
    <x v="8"/>
  </r>
  <r>
    <n v="264"/>
    <d v="2023-01-28T00:00:00"/>
    <x v="263"/>
    <x v="0"/>
    <n v="47"/>
    <x v="1"/>
    <n v="3"/>
    <n v="300"/>
    <n v="900"/>
    <n v="900"/>
    <x v="1"/>
    <x v="2"/>
  </r>
  <r>
    <n v="265"/>
    <d v="2023-12-11T00:00:00"/>
    <x v="264"/>
    <x v="0"/>
    <n v="55"/>
    <x v="1"/>
    <n v="3"/>
    <n v="300"/>
    <n v="900"/>
    <n v="900"/>
    <x v="3"/>
    <x v="6"/>
  </r>
  <r>
    <n v="266"/>
    <d v="2023-12-01T00:00:00"/>
    <x v="265"/>
    <x v="1"/>
    <n v="19"/>
    <x v="2"/>
    <n v="2"/>
    <n v="30"/>
    <n v="60"/>
    <n v="60"/>
    <x v="4"/>
    <x v="6"/>
  </r>
  <r>
    <n v="267"/>
    <d v="2023-11-27T00:00:00"/>
    <x v="266"/>
    <x v="1"/>
    <n v="32"/>
    <x v="0"/>
    <n v="3"/>
    <n v="30"/>
    <n v="90"/>
    <n v="90"/>
    <x v="0"/>
    <x v="0"/>
  </r>
  <r>
    <n v="268"/>
    <d v="2023-02-20T00:00:00"/>
    <x v="267"/>
    <x v="1"/>
    <n v="28"/>
    <x v="2"/>
    <n v="1"/>
    <n v="30"/>
    <n v="30"/>
    <n v="30"/>
    <x v="0"/>
    <x v="1"/>
  </r>
  <r>
    <n v="269"/>
    <d v="2023-02-01T00:00:00"/>
    <x v="268"/>
    <x v="0"/>
    <n v="25"/>
    <x v="1"/>
    <n v="4"/>
    <n v="500"/>
    <n v="2000"/>
    <n v="2000"/>
    <x v="0"/>
    <x v="1"/>
  </r>
  <r>
    <n v="270"/>
    <d v="2023-07-26T00:00:00"/>
    <x v="269"/>
    <x v="0"/>
    <n v="43"/>
    <x v="2"/>
    <n v="1"/>
    <n v="300"/>
    <n v="300"/>
    <n v="300"/>
    <x v="2"/>
    <x v="11"/>
  </r>
  <r>
    <n v="271"/>
    <d v="2023-06-23T00:00:00"/>
    <x v="270"/>
    <x v="1"/>
    <n v="62"/>
    <x v="0"/>
    <n v="4"/>
    <n v="30"/>
    <n v="120"/>
    <n v="120"/>
    <x v="3"/>
    <x v="10"/>
  </r>
  <r>
    <n v="272"/>
    <d v="2023-02-25T00:00:00"/>
    <x v="271"/>
    <x v="1"/>
    <n v="61"/>
    <x v="2"/>
    <n v="2"/>
    <n v="50"/>
    <n v="100"/>
    <n v="100"/>
    <x v="3"/>
    <x v="1"/>
  </r>
  <r>
    <n v="273"/>
    <d v="2023-05-08T00:00:00"/>
    <x v="272"/>
    <x v="1"/>
    <n v="22"/>
    <x v="0"/>
    <n v="1"/>
    <n v="50"/>
    <n v="50"/>
    <n v="50"/>
    <x v="4"/>
    <x v="3"/>
  </r>
  <r>
    <n v="274"/>
    <d v="2023-04-09T00:00:00"/>
    <x v="273"/>
    <x v="1"/>
    <n v="23"/>
    <x v="1"/>
    <n v="2"/>
    <n v="500"/>
    <n v="1000"/>
    <n v="1000"/>
    <x v="4"/>
    <x v="4"/>
  </r>
  <r>
    <n v="275"/>
    <d v="2023-04-08T00:00:00"/>
    <x v="274"/>
    <x v="0"/>
    <n v="43"/>
    <x v="1"/>
    <n v="2"/>
    <n v="500"/>
    <n v="1000"/>
    <n v="1000"/>
    <x v="2"/>
    <x v="4"/>
  </r>
  <r>
    <n v="276"/>
    <d v="2023-10-02T00:00:00"/>
    <x v="275"/>
    <x v="1"/>
    <n v="21"/>
    <x v="0"/>
    <n v="4"/>
    <n v="25"/>
    <n v="100"/>
    <n v="100"/>
    <x v="4"/>
    <x v="7"/>
  </r>
  <r>
    <n v="277"/>
    <d v="2023-08-18T00:00:00"/>
    <x v="276"/>
    <x v="0"/>
    <n v="36"/>
    <x v="1"/>
    <n v="4"/>
    <n v="25"/>
    <n v="100"/>
    <n v="100"/>
    <x v="2"/>
    <x v="8"/>
  </r>
  <r>
    <n v="278"/>
    <d v="2023-03-13T00:00:00"/>
    <x v="277"/>
    <x v="1"/>
    <n v="37"/>
    <x v="1"/>
    <n v="4"/>
    <n v="25"/>
    <n v="100"/>
    <n v="100"/>
    <x v="2"/>
    <x v="5"/>
  </r>
  <r>
    <n v="279"/>
    <d v="2023-08-05T00:00:00"/>
    <x v="278"/>
    <x v="0"/>
    <n v="50"/>
    <x v="1"/>
    <n v="1"/>
    <n v="500"/>
    <n v="500"/>
    <n v="500"/>
    <x v="1"/>
    <x v="8"/>
  </r>
  <r>
    <n v="280"/>
    <d v="2023-04-04T00:00:00"/>
    <x v="279"/>
    <x v="1"/>
    <n v="37"/>
    <x v="1"/>
    <n v="3"/>
    <n v="500"/>
    <n v="1500"/>
    <n v="1500"/>
    <x v="2"/>
    <x v="4"/>
  </r>
  <r>
    <n v="281"/>
    <d v="2023-05-23T00:00:00"/>
    <x v="280"/>
    <x v="1"/>
    <n v="29"/>
    <x v="0"/>
    <n v="4"/>
    <n v="500"/>
    <n v="2000"/>
    <n v="2000"/>
    <x v="0"/>
    <x v="3"/>
  </r>
  <r>
    <n v="282"/>
    <d v="2023-08-25T00:00:00"/>
    <x v="281"/>
    <x v="1"/>
    <n v="64"/>
    <x v="2"/>
    <n v="4"/>
    <n v="50"/>
    <n v="200"/>
    <n v="200"/>
    <x v="3"/>
    <x v="8"/>
  </r>
  <r>
    <n v="283"/>
    <d v="2023-05-08T00:00:00"/>
    <x v="282"/>
    <x v="1"/>
    <n v="18"/>
    <x v="2"/>
    <n v="1"/>
    <n v="500"/>
    <n v="500"/>
    <n v="500"/>
    <x v="4"/>
    <x v="3"/>
  </r>
  <r>
    <n v="284"/>
    <d v="2023-02-08T00:00:00"/>
    <x v="283"/>
    <x v="0"/>
    <n v="43"/>
    <x v="1"/>
    <n v="4"/>
    <n v="50"/>
    <n v="200"/>
    <n v="200"/>
    <x v="2"/>
    <x v="1"/>
  </r>
  <r>
    <n v="285"/>
    <d v="2023-08-15T00:00:00"/>
    <x v="284"/>
    <x v="1"/>
    <n v="31"/>
    <x v="2"/>
    <n v="1"/>
    <n v="25"/>
    <n v="25"/>
    <n v="25"/>
    <x v="0"/>
    <x v="8"/>
  </r>
  <r>
    <n v="286"/>
    <d v="2023-10-09T00:00:00"/>
    <x v="285"/>
    <x v="0"/>
    <n v="55"/>
    <x v="2"/>
    <n v="2"/>
    <n v="25"/>
    <n v="50"/>
    <n v="50"/>
    <x v="3"/>
    <x v="7"/>
  </r>
  <r>
    <n v="287"/>
    <d v="2023-02-20T00:00:00"/>
    <x v="286"/>
    <x v="0"/>
    <n v="54"/>
    <x v="1"/>
    <n v="4"/>
    <n v="25"/>
    <n v="100"/>
    <n v="100"/>
    <x v="1"/>
    <x v="1"/>
  </r>
  <r>
    <n v="288"/>
    <d v="2023-01-26T00:00:00"/>
    <x v="287"/>
    <x v="0"/>
    <n v="28"/>
    <x v="1"/>
    <n v="4"/>
    <n v="30"/>
    <n v="120"/>
    <n v="120"/>
    <x v="0"/>
    <x v="2"/>
  </r>
  <r>
    <n v="289"/>
    <d v="2023-11-30T00:00:00"/>
    <x v="288"/>
    <x v="0"/>
    <n v="53"/>
    <x v="2"/>
    <n v="2"/>
    <n v="30"/>
    <n v="60"/>
    <n v="60"/>
    <x v="1"/>
    <x v="0"/>
  </r>
  <r>
    <n v="290"/>
    <d v="2023-10-04T00:00:00"/>
    <x v="289"/>
    <x v="1"/>
    <n v="30"/>
    <x v="0"/>
    <n v="2"/>
    <n v="300"/>
    <n v="600"/>
    <n v="600"/>
    <x v="0"/>
    <x v="7"/>
  </r>
  <r>
    <n v="291"/>
    <d v="2023-01-08T00:00:00"/>
    <x v="290"/>
    <x v="0"/>
    <n v="60"/>
    <x v="1"/>
    <n v="2"/>
    <n v="300"/>
    <n v="600"/>
    <n v="600"/>
    <x v="3"/>
    <x v="2"/>
  </r>
  <r>
    <n v="292"/>
    <d v="2023-02-17T00:00:00"/>
    <x v="291"/>
    <x v="0"/>
    <n v="20"/>
    <x v="0"/>
    <n v="4"/>
    <n v="300"/>
    <n v="1200"/>
    <n v="1200"/>
    <x v="4"/>
    <x v="1"/>
  </r>
  <r>
    <n v="293"/>
    <d v="2023-05-02T00:00:00"/>
    <x v="292"/>
    <x v="0"/>
    <n v="50"/>
    <x v="2"/>
    <n v="3"/>
    <n v="30"/>
    <n v="90"/>
    <n v="90"/>
    <x v="1"/>
    <x v="3"/>
  </r>
  <r>
    <n v="294"/>
    <d v="2023-03-27T00:00:00"/>
    <x v="293"/>
    <x v="1"/>
    <n v="23"/>
    <x v="1"/>
    <n v="3"/>
    <n v="30"/>
    <n v="90"/>
    <n v="90"/>
    <x v="4"/>
    <x v="5"/>
  </r>
  <r>
    <n v="295"/>
    <d v="2023-07-28T00:00:00"/>
    <x v="294"/>
    <x v="1"/>
    <n v="27"/>
    <x v="0"/>
    <n v="3"/>
    <n v="300"/>
    <n v="900"/>
    <n v="900"/>
    <x v="0"/>
    <x v="11"/>
  </r>
  <r>
    <n v="296"/>
    <d v="2023-09-06T00:00:00"/>
    <x v="295"/>
    <x v="1"/>
    <n v="22"/>
    <x v="1"/>
    <n v="4"/>
    <n v="300"/>
    <n v="1200"/>
    <n v="1200"/>
    <x v="4"/>
    <x v="9"/>
  </r>
  <r>
    <n v="297"/>
    <d v="2023-09-04T00:00:00"/>
    <x v="296"/>
    <x v="1"/>
    <n v="40"/>
    <x v="2"/>
    <n v="2"/>
    <n v="500"/>
    <n v="1000"/>
    <n v="1000"/>
    <x v="2"/>
    <x v="9"/>
  </r>
  <r>
    <n v="298"/>
    <d v="2023-04-20T00:00:00"/>
    <x v="297"/>
    <x v="0"/>
    <n v="27"/>
    <x v="0"/>
    <n v="4"/>
    <n v="300"/>
    <n v="1200"/>
    <n v="1200"/>
    <x v="0"/>
    <x v="4"/>
  </r>
  <r>
    <n v="299"/>
    <d v="2023-07-25T00:00:00"/>
    <x v="298"/>
    <x v="0"/>
    <n v="61"/>
    <x v="2"/>
    <n v="2"/>
    <n v="500"/>
    <n v="1000"/>
    <n v="1000"/>
    <x v="3"/>
    <x v="11"/>
  </r>
  <r>
    <n v="300"/>
    <d v="2023-01-31T00:00:00"/>
    <x v="299"/>
    <x v="1"/>
    <n v="19"/>
    <x v="2"/>
    <n v="4"/>
    <n v="50"/>
    <n v="200"/>
    <n v="200"/>
    <x v="4"/>
    <x v="2"/>
  </r>
  <r>
    <n v="301"/>
    <d v="2023-03-26T00:00:00"/>
    <x v="300"/>
    <x v="0"/>
    <n v="30"/>
    <x v="1"/>
    <n v="4"/>
    <n v="30"/>
    <n v="120"/>
    <n v="120"/>
    <x v="0"/>
    <x v="5"/>
  </r>
  <r>
    <n v="302"/>
    <d v="2023-07-14T00:00:00"/>
    <x v="301"/>
    <x v="0"/>
    <n v="57"/>
    <x v="0"/>
    <n v="2"/>
    <n v="300"/>
    <n v="600"/>
    <n v="600"/>
    <x v="3"/>
    <x v="11"/>
  </r>
  <r>
    <n v="303"/>
    <d v="2023-01-02T00:00:00"/>
    <x v="302"/>
    <x v="0"/>
    <n v="19"/>
    <x v="2"/>
    <n v="3"/>
    <n v="30"/>
    <n v="90"/>
    <n v="90"/>
    <x v="4"/>
    <x v="2"/>
  </r>
  <r>
    <n v="304"/>
    <d v="2023-07-19T00:00:00"/>
    <x v="303"/>
    <x v="1"/>
    <n v="37"/>
    <x v="2"/>
    <n v="2"/>
    <n v="30"/>
    <n v="60"/>
    <n v="60"/>
    <x v="2"/>
    <x v="11"/>
  </r>
  <r>
    <n v="305"/>
    <d v="2023-05-16T00:00:00"/>
    <x v="304"/>
    <x v="1"/>
    <n v="18"/>
    <x v="0"/>
    <n v="1"/>
    <n v="30"/>
    <n v="30"/>
    <n v="30"/>
    <x v="4"/>
    <x v="3"/>
  </r>
  <r>
    <n v="306"/>
    <d v="2023-08-21T00:00:00"/>
    <x v="305"/>
    <x v="0"/>
    <n v="54"/>
    <x v="2"/>
    <n v="1"/>
    <n v="50"/>
    <n v="50"/>
    <n v="50"/>
    <x v="1"/>
    <x v="8"/>
  </r>
  <r>
    <n v="307"/>
    <d v="2023-05-27T00:00:00"/>
    <x v="306"/>
    <x v="1"/>
    <n v="26"/>
    <x v="2"/>
    <n v="2"/>
    <n v="25"/>
    <n v="50"/>
    <n v="50"/>
    <x v="0"/>
    <x v="3"/>
  </r>
  <r>
    <n v="308"/>
    <d v="2023-08-05T00:00:00"/>
    <x v="307"/>
    <x v="1"/>
    <n v="34"/>
    <x v="0"/>
    <n v="4"/>
    <n v="300"/>
    <n v="1200"/>
    <n v="1200"/>
    <x v="0"/>
    <x v="8"/>
  </r>
  <r>
    <n v="309"/>
    <d v="2023-12-23T00:00:00"/>
    <x v="308"/>
    <x v="1"/>
    <n v="26"/>
    <x v="0"/>
    <n v="1"/>
    <n v="25"/>
    <n v="25"/>
    <n v="25"/>
    <x v="0"/>
    <x v="6"/>
  </r>
  <r>
    <n v="310"/>
    <d v="2023-10-12T00:00:00"/>
    <x v="309"/>
    <x v="1"/>
    <n v="28"/>
    <x v="0"/>
    <n v="1"/>
    <n v="25"/>
    <n v="25"/>
    <n v="25"/>
    <x v="0"/>
    <x v="7"/>
  </r>
  <r>
    <n v="311"/>
    <d v="2023-12-05T00:00:00"/>
    <x v="310"/>
    <x v="1"/>
    <n v="32"/>
    <x v="0"/>
    <n v="4"/>
    <n v="25"/>
    <n v="100"/>
    <n v="100"/>
    <x v="0"/>
    <x v="6"/>
  </r>
  <r>
    <n v="312"/>
    <d v="2023-09-07T00:00:00"/>
    <x v="311"/>
    <x v="0"/>
    <n v="41"/>
    <x v="1"/>
    <n v="4"/>
    <n v="30"/>
    <n v="120"/>
    <n v="120"/>
    <x v="2"/>
    <x v="9"/>
  </r>
  <r>
    <n v="313"/>
    <d v="2023-03-21T00:00:00"/>
    <x v="312"/>
    <x v="1"/>
    <n v="55"/>
    <x v="0"/>
    <n v="3"/>
    <n v="500"/>
    <n v="1500"/>
    <n v="1500"/>
    <x v="3"/>
    <x v="5"/>
  </r>
  <r>
    <n v="314"/>
    <d v="2023-04-08T00:00:00"/>
    <x v="313"/>
    <x v="0"/>
    <n v="52"/>
    <x v="1"/>
    <n v="4"/>
    <n v="30"/>
    <n v="120"/>
    <n v="120"/>
    <x v="1"/>
    <x v="4"/>
  </r>
  <r>
    <n v="315"/>
    <d v="2023-06-01T00:00:00"/>
    <x v="314"/>
    <x v="0"/>
    <n v="47"/>
    <x v="1"/>
    <n v="2"/>
    <n v="30"/>
    <n v="60"/>
    <n v="60"/>
    <x v="1"/>
    <x v="10"/>
  </r>
  <r>
    <n v="316"/>
    <d v="2023-04-22T00:00:00"/>
    <x v="315"/>
    <x v="1"/>
    <n v="48"/>
    <x v="1"/>
    <n v="2"/>
    <n v="25"/>
    <n v="50"/>
    <n v="50"/>
    <x v="1"/>
    <x v="4"/>
  </r>
  <r>
    <n v="317"/>
    <d v="2023-01-30T00:00:00"/>
    <x v="316"/>
    <x v="0"/>
    <n v="22"/>
    <x v="2"/>
    <n v="3"/>
    <n v="30"/>
    <n v="90"/>
    <n v="90"/>
    <x v="4"/>
    <x v="2"/>
  </r>
  <r>
    <n v="318"/>
    <d v="2023-10-24T00:00:00"/>
    <x v="317"/>
    <x v="0"/>
    <n v="61"/>
    <x v="1"/>
    <n v="1"/>
    <n v="25"/>
    <n v="25"/>
    <n v="25"/>
    <x v="3"/>
    <x v="7"/>
  </r>
  <r>
    <n v="319"/>
    <d v="2023-10-05T00:00:00"/>
    <x v="318"/>
    <x v="0"/>
    <n v="31"/>
    <x v="1"/>
    <n v="1"/>
    <n v="500"/>
    <n v="500"/>
    <n v="500"/>
    <x v="0"/>
    <x v="7"/>
  </r>
  <r>
    <n v="320"/>
    <d v="2023-02-01T00:00:00"/>
    <x v="319"/>
    <x v="1"/>
    <n v="28"/>
    <x v="2"/>
    <n v="4"/>
    <n v="300"/>
    <n v="1200"/>
    <n v="1200"/>
    <x v="0"/>
    <x v="1"/>
  </r>
  <r>
    <n v="321"/>
    <d v="2023-06-10T00:00:00"/>
    <x v="320"/>
    <x v="1"/>
    <n v="26"/>
    <x v="2"/>
    <n v="2"/>
    <n v="25"/>
    <n v="50"/>
    <n v="50"/>
    <x v="0"/>
    <x v="10"/>
  </r>
  <r>
    <n v="322"/>
    <d v="2023-01-30T00:00:00"/>
    <x v="321"/>
    <x v="0"/>
    <n v="51"/>
    <x v="2"/>
    <n v="1"/>
    <n v="500"/>
    <n v="500"/>
    <n v="500"/>
    <x v="1"/>
    <x v="2"/>
  </r>
  <r>
    <n v="323"/>
    <d v="2023-01-26T00:00:00"/>
    <x v="322"/>
    <x v="1"/>
    <n v="29"/>
    <x v="0"/>
    <n v="3"/>
    <n v="300"/>
    <n v="900"/>
    <n v="900"/>
    <x v="0"/>
    <x v="2"/>
  </r>
  <r>
    <n v="324"/>
    <d v="2023-10-27T00:00:00"/>
    <x v="323"/>
    <x v="1"/>
    <n v="52"/>
    <x v="2"/>
    <n v="3"/>
    <n v="50"/>
    <n v="150"/>
    <n v="150"/>
    <x v="1"/>
    <x v="7"/>
  </r>
  <r>
    <n v="325"/>
    <d v="2023-09-02T00:00:00"/>
    <x v="324"/>
    <x v="1"/>
    <n v="52"/>
    <x v="2"/>
    <n v="2"/>
    <n v="25"/>
    <n v="50"/>
    <n v="50"/>
    <x v="1"/>
    <x v="9"/>
  </r>
  <r>
    <n v="326"/>
    <d v="2023-09-15T00:00:00"/>
    <x v="325"/>
    <x v="1"/>
    <n v="18"/>
    <x v="1"/>
    <n v="3"/>
    <n v="25"/>
    <n v="75"/>
    <n v="75"/>
    <x v="4"/>
    <x v="9"/>
  </r>
  <r>
    <n v="327"/>
    <d v="2023-09-29T00:00:00"/>
    <x v="326"/>
    <x v="0"/>
    <n v="57"/>
    <x v="2"/>
    <n v="3"/>
    <n v="50"/>
    <n v="150"/>
    <n v="150"/>
    <x v="3"/>
    <x v="9"/>
  </r>
  <r>
    <n v="328"/>
    <d v="2023-03-22T00:00:00"/>
    <x v="327"/>
    <x v="0"/>
    <n v="39"/>
    <x v="0"/>
    <n v="2"/>
    <n v="50"/>
    <n v="100"/>
    <n v="100"/>
    <x v="2"/>
    <x v="5"/>
  </r>
  <r>
    <n v="329"/>
    <d v="2023-01-30T00:00:00"/>
    <x v="328"/>
    <x v="1"/>
    <n v="46"/>
    <x v="2"/>
    <n v="4"/>
    <n v="25"/>
    <n v="100"/>
    <n v="100"/>
    <x v="1"/>
    <x v="2"/>
  </r>
  <r>
    <n v="330"/>
    <d v="2023-09-18T00:00:00"/>
    <x v="329"/>
    <x v="1"/>
    <n v="25"/>
    <x v="0"/>
    <n v="4"/>
    <n v="50"/>
    <n v="200"/>
    <n v="200"/>
    <x v="0"/>
    <x v="9"/>
  </r>
  <r>
    <n v="331"/>
    <d v="2023-02-11T00:00:00"/>
    <x v="330"/>
    <x v="0"/>
    <n v="28"/>
    <x v="2"/>
    <n v="3"/>
    <n v="30"/>
    <n v="90"/>
    <n v="90"/>
    <x v="0"/>
    <x v="1"/>
  </r>
  <r>
    <n v="332"/>
    <d v="2023-04-06T00:00:00"/>
    <x v="331"/>
    <x v="0"/>
    <n v="58"/>
    <x v="2"/>
    <n v="4"/>
    <n v="300"/>
    <n v="1200"/>
    <n v="1200"/>
    <x v="3"/>
    <x v="4"/>
  </r>
  <r>
    <n v="333"/>
    <d v="2023-02-05T00:00:00"/>
    <x v="332"/>
    <x v="1"/>
    <n v="54"/>
    <x v="2"/>
    <n v="4"/>
    <n v="300"/>
    <n v="1200"/>
    <n v="1200"/>
    <x v="1"/>
    <x v="1"/>
  </r>
  <r>
    <n v="334"/>
    <d v="2023-11-01T00:00:00"/>
    <x v="333"/>
    <x v="0"/>
    <n v="31"/>
    <x v="2"/>
    <n v="3"/>
    <n v="300"/>
    <n v="900"/>
    <n v="900"/>
    <x v="0"/>
    <x v="0"/>
  </r>
  <r>
    <n v="335"/>
    <d v="2023-02-04T00:00:00"/>
    <x v="334"/>
    <x v="1"/>
    <n v="47"/>
    <x v="0"/>
    <n v="4"/>
    <n v="30"/>
    <n v="120"/>
    <n v="120"/>
    <x v="1"/>
    <x v="1"/>
  </r>
  <r>
    <n v="336"/>
    <d v="2023-12-12T00:00:00"/>
    <x v="335"/>
    <x v="1"/>
    <n v="52"/>
    <x v="0"/>
    <n v="3"/>
    <n v="50"/>
    <n v="150"/>
    <n v="150"/>
    <x v="1"/>
    <x v="6"/>
  </r>
  <r>
    <n v="337"/>
    <d v="2023-05-01T00:00:00"/>
    <x v="336"/>
    <x v="0"/>
    <n v="38"/>
    <x v="1"/>
    <n v="1"/>
    <n v="500"/>
    <n v="500"/>
    <n v="500"/>
    <x v="2"/>
    <x v="3"/>
  </r>
  <r>
    <n v="338"/>
    <d v="2023-07-26T00:00:00"/>
    <x v="337"/>
    <x v="0"/>
    <n v="54"/>
    <x v="0"/>
    <n v="2"/>
    <n v="50"/>
    <n v="100"/>
    <n v="100"/>
    <x v="1"/>
    <x v="11"/>
  </r>
  <r>
    <n v="339"/>
    <d v="2023-03-03T00:00:00"/>
    <x v="338"/>
    <x v="1"/>
    <n v="22"/>
    <x v="2"/>
    <n v="2"/>
    <n v="25"/>
    <n v="50"/>
    <n v="50"/>
    <x v="4"/>
    <x v="5"/>
  </r>
  <r>
    <n v="340"/>
    <d v="2023-10-19T00:00:00"/>
    <x v="339"/>
    <x v="1"/>
    <n v="36"/>
    <x v="1"/>
    <n v="4"/>
    <n v="300"/>
    <n v="1200"/>
    <n v="1200"/>
    <x v="2"/>
    <x v="7"/>
  </r>
  <r>
    <n v="341"/>
    <d v="2023-05-07T00:00:00"/>
    <x v="340"/>
    <x v="0"/>
    <n v="31"/>
    <x v="1"/>
    <n v="4"/>
    <n v="50"/>
    <n v="200"/>
    <n v="200"/>
    <x v="0"/>
    <x v="3"/>
  </r>
  <r>
    <n v="342"/>
    <d v="2023-10-24T00:00:00"/>
    <x v="341"/>
    <x v="1"/>
    <n v="43"/>
    <x v="1"/>
    <n v="4"/>
    <n v="500"/>
    <n v="2000"/>
    <n v="2000"/>
    <x v="2"/>
    <x v="7"/>
  </r>
  <r>
    <n v="343"/>
    <d v="2023-11-01T00:00:00"/>
    <x v="342"/>
    <x v="0"/>
    <n v="21"/>
    <x v="2"/>
    <n v="2"/>
    <n v="25"/>
    <n v="50"/>
    <n v="50"/>
    <x v="4"/>
    <x v="0"/>
  </r>
  <r>
    <n v="344"/>
    <d v="2023-01-21T00:00:00"/>
    <x v="343"/>
    <x v="1"/>
    <n v="42"/>
    <x v="0"/>
    <n v="1"/>
    <n v="30"/>
    <n v="30"/>
    <n v="30"/>
    <x v="2"/>
    <x v="2"/>
  </r>
  <r>
    <n v="345"/>
    <d v="2023-11-14T00:00:00"/>
    <x v="344"/>
    <x v="0"/>
    <n v="62"/>
    <x v="2"/>
    <n v="1"/>
    <n v="30"/>
    <n v="30"/>
    <n v="30"/>
    <x v="3"/>
    <x v="0"/>
  </r>
  <r>
    <n v="346"/>
    <d v="2023-02-11T00:00:00"/>
    <x v="345"/>
    <x v="0"/>
    <n v="59"/>
    <x v="1"/>
    <n v="2"/>
    <n v="500"/>
    <n v="1000"/>
    <n v="1000"/>
    <x v="3"/>
    <x v="1"/>
  </r>
  <r>
    <n v="347"/>
    <d v="2023-08-03T00:00:00"/>
    <x v="346"/>
    <x v="0"/>
    <n v="42"/>
    <x v="2"/>
    <n v="1"/>
    <n v="25"/>
    <n v="25"/>
    <n v="25"/>
    <x v="2"/>
    <x v="8"/>
  </r>
  <r>
    <n v="348"/>
    <d v="2023-12-03T00:00:00"/>
    <x v="347"/>
    <x v="1"/>
    <n v="35"/>
    <x v="2"/>
    <n v="2"/>
    <n v="300"/>
    <n v="600"/>
    <n v="600"/>
    <x v="2"/>
    <x v="6"/>
  </r>
  <r>
    <n v="349"/>
    <d v="2023-10-26T00:00:00"/>
    <x v="348"/>
    <x v="1"/>
    <n v="57"/>
    <x v="0"/>
    <n v="1"/>
    <n v="50"/>
    <n v="50"/>
    <n v="50"/>
    <x v="3"/>
    <x v="7"/>
  </r>
  <r>
    <n v="350"/>
    <d v="2023-10-17T00:00:00"/>
    <x v="349"/>
    <x v="0"/>
    <n v="25"/>
    <x v="0"/>
    <n v="3"/>
    <n v="25"/>
    <n v="75"/>
    <n v="75"/>
    <x v="0"/>
    <x v="7"/>
  </r>
  <r>
    <n v="351"/>
    <d v="2023-09-25T00:00:00"/>
    <x v="350"/>
    <x v="1"/>
    <n v="56"/>
    <x v="1"/>
    <n v="3"/>
    <n v="30"/>
    <n v="90"/>
    <n v="90"/>
    <x v="3"/>
    <x v="9"/>
  </r>
  <r>
    <n v="352"/>
    <d v="2023-06-11T00:00:00"/>
    <x v="351"/>
    <x v="0"/>
    <n v="57"/>
    <x v="2"/>
    <n v="2"/>
    <n v="500"/>
    <n v="1000"/>
    <n v="1000"/>
    <x v="3"/>
    <x v="10"/>
  </r>
  <r>
    <n v="353"/>
    <d v="2023-05-14T00:00:00"/>
    <x v="352"/>
    <x v="0"/>
    <n v="31"/>
    <x v="2"/>
    <n v="1"/>
    <n v="500"/>
    <n v="500"/>
    <n v="500"/>
    <x v="0"/>
    <x v="3"/>
  </r>
  <r>
    <n v="354"/>
    <d v="2023-04-15T00:00:00"/>
    <x v="353"/>
    <x v="1"/>
    <n v="49"/>
    <x v="0"/>
    <n v="4"/>
    <n v="50"/>
    <n v="200"/>
    <n v="200"/>
    <x v="1"/>
    <x v="4"/>
  </r>
  <r>
    <n v="355"/>
    <d v="2023-12-09T00:00:00"/>
    <x v="354"/>
    <x v="1"/>
    <n v="55"/>
    <x v="2"/>
    <n v="1"/>
    <n v="500"/>
    <n v="500"/>
    <n v="500"/>
    <x v="3"/>
    <x v="6"/>
  </r>
  <r>
    <n v="356"/>
    <d v="2023-06-10T00:00:00"/>
    <x v="355"/>
    <x v="0"/>
    <n v="50"/>
    <x v="2"/>
    <n v="3"/>
    <n v="500"/>
    <n v="1500"/>
    <n v="1500"/>
    <x v="1"/>
    <x v="10"/>
  </r>
  <r>
    <n v="357"/>
    <d v="2023-05-03T00:00:00"/>
    <x v="356"/>
    <x v="1"/>
    <n v="40"/>
    <x v="2"/>
    <n v="3"/>
    <n v="25"/>
    <n v="75"/>
    <n v="75"/>
    <x v="2"/>
    <x v="3"/>
  </r>
  <r>
    <n v="358"/>
    <d v="2023-05-16T00:00:00"/>
    <x v="357"/>
    <x v="1"/>
    <n v="32"/>
    <x v="0"/>
    <n v="1"/>
    <n v="300"/>
    <n v="300"/>
    <n v="300"/>
    <x v="0"/>
    <x v="3"/>
  </r>
  <r>
    <n v="359"/>
    <d v="2023-07-22T00:00:00"/>
    <x v="358"/>
    <x v="0"/>
    <n v="50"/>
    <x v="1"/>
    <n v="1"/>
    <n v="50"/>
    <n v="50"/>
    <n v="50"/>
    <x v="1"/>
    <x v="11"/>
  </r>
  <r>
    <n v="360"/>
    <d v="2023-03-09T00:00:00"/>
    <x v="359"/>
    <x v="0"/>
    <n v="42"/>
    <x v="1"/>
    <n v="4"/>
    <n v="25"/>
    <n v="100"/>
    <n v="100"/>
    <x v="2"/>
    <x v="5"/>
  </r>
  <r>
    <n v="361"/>
    <d v="2023-12-10T00:00:00"/>
    <x v="360"/>
    <x v="1"/>
    <n v="34"/>
    <x v="2"/>
    <n v="4"/>
    <n v="300"/>
    <n v="1200"/>
    <n v="1200"/>
    <x v="0"/>
    <x v="6"/>
  </r>
  <r>
    <n v="362"/>
    <d v="2023-11-27T00:00:00"/>
    <x v="361"/>
    <x v="0"/>
    <n v="50"/>
    <x v="1"/>
    <n v="1"/>
    <n v="25"/>
    <n v="25"/>
    <n v="25"/>
    <x v="1"/>
    <x v="0"/>
  </r>
  <r>
    <n v="363"/>
    <d v="2023-06-03T00:00:00"/>
    <x v="362"/>
    <x v="0"/>
    <n v="64"/>
    <x v="0"/>
    <n v="1"/>
    <n v="25"/>
    <n v="25"/>
    <n v="25"/>
    <x v="3"/>
    <x v="10"/>
  </r>
  <r>
    <n v="364"/>
    <d v="2023-08-23T00:00:00"/>
    <x v="363"/>
    <x v="1"/>
    <n v="19"/>
    <x v="0"/>
    <n v="1"/>
    <n v="500"/>
    <n v="500"/>
    <n v="500"/>
    <x v="4"/>
    <x v="8"/>
  </r>
  <r>
    <n v="365"/>
    <d v="2023-06-11T00:00:00"/>
    <x v="364"/>
    <x v="0"/>
    <n v="31"/>
    <x v="1"/>
    <n v="1"/>
    <n v="300"/>
    <n v="300"/>
    <n v="300"/>
    <x v="0"/>
    <x v="10"/>
  </r>
  <r>
    <n v="366"/>
    <d v="2023-02-07T00:00:00"/>
    <x v="365"/>
    <x v="0"/>
    <n v="57"/>
    <x v="1"/>
    <n v="2"/>
    <n v="50"/>
    <n v="100"/>
    <n v="100"/>
    <x v="3"/>
    <x v="1"/>
  </r>
  <r>
    <n v="367"/>
    <d v="2023-01-05T00:00:00"/>
    <x v="366"/>
    <x v="1"/>
    <n v="57"/>
    <x v="2"/>
    <n v="1"/>
    <n v="50"/>
    <n v="50"/>
    <n v="50"/>
    <x v="3"/>
    <x v="2"/>
  </r>
  <r>
    <n v="368"/>
    <d v="2023-08-23T00:00:00"/>
    <x v="367"/>
    <x v="1"/>
    <n v="56"/>
    <x v="1"/>
    <n v="4"/>
    <n v="300"/>
    <n v="1200"/>
    <n v="1200"/>
    <x v="3"/>
    <x v="8"/>
  </r>
  <r>
    <n v="369"/>
    <d v="2023-11-15T00:00:00"/>
    <x v="368"/>
    <x v="0"/>
    <n v="23"/>
    <x v="2"/>
    <n v="3"/>
    <n v="500"/>
    <n v="1500"/>
    <n v="1500"/>
    <x v="4"/>
    <x v="0"/>
  </r>
  <r>
    <n v="370"/>
    <d v="2023-10-16T00:00:00"/>
    <x v="369"/>
    <x v="0"/>
    <n v="23"/>
    <x v="2"/>
    <n v="2"/>
    <n v="30"/>
    <n v="60"/>
    <n v="60"/>
    <x v="4"/>
    <x v="7"/>
  </r>
  <r>
    <n v="371"/>
    <d v="2023-02-21T00:00:00"/>
    <x v="370"/>
    <x v="1"/>
    <n v="20"/>
    <x v="0"/>
    <n v="1"/>
    <n v="25"/>
    <n v="25"/>
    <n v="25"/>
    <x v="4"/>
    <x v="1"/>
  </r>
  <r>
    <n v="372"/>
    <d v="2023-02-07T00:00:00"/>
    <x v="371"/>
    <x v="1"/>
    <n v="24"/>
    <x v="0"/>
    <n v="3"/>
    <n v="500"/>
    <n v="1500"/>
    <n v="1500"/>
    <x v="4"/>
    <x v="1"/>
  </r>
  <r>
    <n v="373"/>
    <d v="2023-10-03T00:00:00"/>
    <x v="372"/>
    <x v="1"/>
    <n v="25"/>
    <x v="0"/>
    <n v="2"/>
    <n v="300"/>
    <n v="600"/>
    <n v="600"/>
    <x v="0"/>
    <x v="7"/>
  </r>
  <r>
    <n v="374"/>
    <d v="2023-04-20T00:00:00"/>
    <x v="373"/>
    <x v="1"/>
    <n v="59"/>
    <x v="0"/>
    <n v="3"/>
    <n v="25"/>
    <n v="75"/>
    <n v="75"/>
    <x v="3"/>
    <x v="4"/>
  </r>
  <r>
    <n v="375"/>
    <d v="2023-09-17T00:00:00"/>
    <x v="374"/>
    <x v="0"/>
    <n v="32"/>
    <x v="1"/>
    <n v="1"/>
    <n v="50"/>
    <n v="50"/>
    <n v="50"/>
    <x v="0"/>
    <x v="9"/>
  </r>
  <r>
    <n v="376"/>
    <d v="2023-05-16T00:00:00"/>
    <x v="375"/>
    <x v="1"/>
    <n v="64"/>
    <x v="0"/>
    <n v="1"/>
    <n v="30"/>
    <n v="30"/>
    <n v="30"/>
    <x v="3"/>
    <x v="3"/>
  </r>
  <r>
    <n v="377"/>
    <d v="2023-03-09T00:00:00"/>
    <x v="376"/>
    <x v="1"/>
    <n v="46"/>
    <x v="1"/>
    <n v="4"/>
    <n v="50"/>
    <n v="200"/>
    <n v="200"/>
    <x v="1"/>
    <x v="5"/>
  </r>
  <r>
    <n v="378"/>
    <d v="2023-06-28T00:00:00"/>
    <x v="377"/>
    <x v="0"/>
    <n v="50"/>
    <x v="0"/>
    <n v="1"/>
    <n v="300"/>
    <n v="300"/>
    <n v="300"/>
    <x v="1"/>
    <x v="10"/>
  </r>
  <r>
    <n v="379"/>
    <d v="2023-02-05T00:00:00"/>
    <x v="378"/>
    <x v="1"/>
    <n v="47"/>
    <x v="1"/>
    <n v="1"/>
    <n v="25"/>
    <n v="25"/>
    <n v="25"/>
    <x v="1"/>
    <x v="1"/>
  </r>
  <r>
    <n v="380"/>
    <d v="2023-05-06T00:00:00"/>
    <x v="379"/>
    <x v="0"/>
    <n v="56"/>
    <x v="2"/>
    <n v="2"/>
    <n v="300"/>
    <n v="600"/>
    <n v="600"/>
    <x v="3"/>
    <x v="3"/>
  </r>
  <r>
    <n v="381"/>
    <d v="2023-07-09T00:00:00"/>
    <x v="380"/>
    <x v="1"/>
    <n v="44"/>
    <x v="1"/>
    <n v="4"/>
    <n v="25"/>
    <n v="100"/>
    <n v="100"/>
    <x v="2"/>
    <x v="11"/>
  </r>
  <r>
    <n v="382"/>
    <d v="2023-05-26T00:00:00"/>
    <x v="381"/>
    <x v="1"/>
    <n v="53"/>
    <x v="1"/>
    <n v="2"/>
    <n v="500"/>
    <n v="1000"/>
    <n v="1000"/>
    <x v="1"/>
    <x v="3"/>
  </r>
  <r>
    <n v="383"/>
    <d v="2023-03-22T00:00:00"/>
    <x v="382"/>
    <x v="1"/>
    <n v="46"/>
    <x v="0"/>
    <n v="3"/>
    <n v="30"/>
    <n v="90"/>
    <n v="90"/>
    <x v="1"/>
    <x v="5"/>
  </r>
  <r>
    <n v="384"/>
    <d v="2023-08-13T00:00:00"/>
    <x v="383"/>
    <x v="0"/>
    <n v="55"/>
    <x v="1"/>
    <n v="1"/>
    <n v="500"/>
    <n v="500"/>
    <n v="500"/>
    <x v="3"/>
    <x v="8"/>
  </r>
  <r>
    <n v="385"/>
    <d v="2023-10-06T00:00:00"/>
    <x v="384"/>
    <x v="0"/>
    <n v="50"/>
    <x v="2"/>
    <n v="3"/>
    <n v="500"/>
    <n v="1500"/>
    <n v="1500"/>
    <x v="1"/>
    <x v="7"/>
  </r>
  <r>
    <n v="386"/>
    <d v="2023-12-27T00:00:00"/>
    <x v="385"/>
    <x v="1"/>
    <n v="54"/>
    <x v="2"/>
    <n v="2"/>
    <n v="300"/>
    <n v="600"/>
    <n v="600"/>
    <x v="1"/>
    <x v="6"/>
  </r>
  <r>
    <n v="387"/>
    <d v="2023-06-04T00:00:00"/>
    <x v="386"/>
    <x v="0"/>
    <n v="44"/>
    <x v="0"/>
    <n v="1"/>
    <n v="30"/>
    <n v="30"/>
    <n v="30"/>
    <x v="2"/>
    <x v="10"/>
  </r>
  <r>
    <n v="388"/>
    <d v="2023-11-10T00:00:00"/>
    <x v="387"/>
    <x v="0"/>
    <n v="50"/>
    <x v="2"/>
    <n v="1"/>
    <n v="25"/>
    <n v="25"/>
    <n v="25"/>
    <x v="1"/>
    <x v="0"/>
  </r>
  <r>
    <n v="389"/>
    <d v="2023-12-01T00:00:00"/>
    <x v="388"/>
    <x v="0"/>
    <n v="21"/>
    <x v="1"/>
    <n v="2"/>
    <n v="25"/>
    <n v="50"/>
    <n v="50"/>
    <x v="4"/>
    <x v="6"/>
  </r>
  <r>
    <n v="390"/>
    <d v="2023-09-28T00:00:00"/>
    <x v="389"/>
    <x v="0"/>
    <n v="39"/>
    <x v="2"/>
    <n v="2"/>
    <n v="50"/>
    <n v="100"/>
    <n v="100"/>
    <x v="2"/>
    <x v="9"/>
  </r>
  <r>
    <n v="391"/>
    <d v="2023-01-05T00:00:00"/>
    <x v="390"/>
    <x v="0"/>
    <n v="19"/>
    <x v="0"/>
    <n v="2"/>
    <n v="25"/>
    <n v="50"/>
    <n v="50"/>
    <x v="4"/>
    <x v="2"/>
  </r>
  <r>
    <n v="392"/>
    <d v="2023-12-08T00:00:00"/>
    <x v="391"/>
    <x v="0"/>
    <n v="27"/>
    <x v="1"/>
    <n v="2"/>
    <n v="300"/>
    <n v="600"/>
    <n v="600"/>
    <x v="0"/>
    <x v="6"/>
  </r>
  <r>
    <n v="393"/>
    <d v="2023-10-11T00:00:00"/>
    <x v="392"/>
    <x v="1"/>
    <n v="22"/>
    <x v="0"/>
    <n v="2"/>
    <n v="500"/>
    <n v="1000"/>
    <n v="1000"/>
    <x v="4"/>
    <x v="7"/>
  </r>
  <r>
    <n v="394"/>
    <d v="2023-06-03T00:00:00"/>
    <x v="393"/>
    <x v="1"/>
    <n v="27"/>
    <x v="1"/>
    <n v="1"/>
    <n v="500"/>
    <n v="500"/>
    <n v="500"/>
    <x v="0"/>
    <x v="10"/>
  </r>
  <r>
    <n v="395"/>
    <d v="2023-12-06T00:00:00"/>
    <x v="394"/>
    <x v="0"/>
    <n v="50"/>
    <x v="2"/>
    <n v="2"/>
    <n v="500"/>
    <n v="1000"/>
    <n v="1000"/>
    <x v="1"/>
    <x v="6"/>
  </r>
  <r>
    <n v="396"/>
    <d v="2023-02-23T00:00:00"/>
    <x v="395"/>
    <x v="1"/>
    <n v="55"/>
    <x v="0"/>
    <n v="1"/>
    <n v="30"/>
    <n v="30"/>
    <n v="30"/>
    <x v="3"/>
    <x v="1"/>
  </r>
  <r>
    <n v="397"/>
    <d v="2023-03-10T00:00:00"/>
    <x v="396"/>
    <x v="1"/>
    <n v="30"/>
    <x v="0"/>
    <n v="1"/>
    <n v="25"/>
    <n v="25"/>
    <n v="25"/>
    <x v="0"/>
    <x v="5"/>
  </r>
  <r>
    <n v="398"/>
    <d v="2023-05-16T00:00:00"/>
    <x v="397"/>
    <x v="1"/>
    <n v="48"/>
    <x v="1"/>
    <n v="2"/>
    <n v="300"/>
    <n v="600"/>
    <n v="600"/>
    <x v="1"/>
    <x v="3"/>
  </r>
  <r>
    <n v="399"/>
    <d v="2023-03-01T00:00:00"/>
    <x v="398"/>
    <x v="1"/>
    <n v="64"/>
    <x v="0"/>
    <n v="2"/>
    <n v="30"/>
    <n v="60"/>
    <n v="60"/>
    <x v="3"/>
    <x v="5"/>
  </r>
  <r>
    <n v="400"/>
    <d v="2023-02-24T00:00:00"/>
    <x v="399"/>
    <x v="0"/>
    <n v="53"/>
    <x v="1"/>
    <n v="4"/>
    <n v="50"/>
    <n v="200"/>
    <n v="200"/>
    <x v="1"/>
    <x v="1"/>
  </r>
  <r>
    <n v="401"/>
    <d v="2023-10-11T00:00:00"/>
    <x v="400"/>
    <x v="1"/>
    <n v="62"/>
    <x v="1"/>
    <n v="1"/>
    <n v="300"/>
    <n v="300"/>
    <n v="300"/>
    <x v="3"/>
    <x v="7"/>
  </r>
  <r>
    <n v="402"/>
    <d v="2023-03-21T00:00:00"/>
    <x v="401"/>
    <x v="1"/>
    <n v="41"/>
    <x v="1"/>
    <n v="2"/>
    <n v="300"/>
    <n v="600"/>
    <n v="600"/>
    <x v="2"/>
    <x v="5"/>
  </r>
  <r>
    <n v="403"/>
    <d v="2023-05-20T00:00:00"/>
    <x v="402"/>
    <x v="0"/>
    <n v="32"/>
    <x v="1"/>
    <n v="2"/>
    <n v="300"/>
    <n v="600"/>
    <n v="600"/>
    <x v="0"/>
    <x v="3"/>
  </r>
  <r>
    <n v="404"/>
    <d v="2023-05-25T00:00:00"/>
    <x v="403"/>
    <x v="0"/>
    <n v="46"/>
    <x v="2"/>
    <n v="2"/>
    <n v="500"/>
    <n v="1000"/>
    <n v="1000"/>
    <x v="1"/>
    <x v="3"/>
  </r>
  <r>
    <n v="405"/>
    <d v="2023-11-06T00:00:00"/>
    <x v="404"/>
    <x v="1"/>
    <n v="25"/>
    <x v="1"/>
    <n v="4"/>
    <n v="300"/>
    <n v="1200"/>
    <n v="1200"/>
    <x v="0"/>
    <x v="0"/>
  </r>
  <r>
    <n v="406"/>
    <d v="2023-04-18T00:00:00"/>
    <x v="405"/>
    <x v="1"/>
    <n v="22"/>
    <x v="0"/>
    <n v="4"/>
    <n v="25"/>
    <n v="100"/>
    <n v="100"/>
    <x v="4"/>
    <x v="4"/>
  </r>
  <r>
    <n v="407"/>
    <d v="2023-06-25T00:00:00"/>
    <x v="406"/>
    <x v="1"/>
    <n v="46"/>
    <x v="2"/>
    <n v="3"/>
    <n v="300"/>
    <n v="900"/>
    <n v="900"/>
    <x v="1"/>
    <x v="10"/>
  </r>
  <r>
    <n v="408"/>
    <d v="2023-04-15T00:00:00"/>
    <x v="407"/>
    <x v="1"/>
    <n v="64"/>
    <x v="0"/>
    <n v="1"/>
    <n v="500"/>
    <n v="500"/>
    <n v="500"/>
    <x v="3"/>
    <x v="4"/>
  </r>
  <r>
    <n v="409"/>
    <d v="2023-12-18T00:00:00"/>
    <x v="408"/>
    <x v="1"/>
    <n v="21"/>
    <x v="2"/>
    <n v="3"/>
    <n v="300"/>
    <n v="900"/>
    <n v="900"/>
    <x v="4"/>
    <x v="6"/>
  </r>
  <r>
    <n v="410"/>
    <d v="2023-11-21T00:00:00"/>
    <x v="409"/>
    <x v="1"/>
    <n v="29"/>
    <x v="1"/>
    <n v="2"/>
    <n v="50"/>
    <n v="100"/>
    <n v="100"/>
    <x v="0"/>
    <x v="0"/>
  </r>
  <r>
    <n v="411"/>
    <d v="2023-05-16T00:00:00"/>
    <x v="410"/>
    <x v="0"/>
    <n v="62"/>
    <x v="2"/>
    <n v="4"/>
    <n v="50"/>
    <n v="200"/>
    <n v="200"/>
    <x v="3"/>
    <x v="3"/>
  </r>
  <r>
    <n v="412"/>
    <d v="2023-09-16T00:00:00"/>
    <x v="411"/>
    <x v="1"/>
    <n v="19"/>
    <x v="2"/>
    <n v="4"/>
    <n v="500"/>
    <n v="2000"/>
    <n v="2000"/>
    <x v="4"/>
    <x v="9"/>
  </r>
  <r>
    <n v="413"/>
    <d v="2023-09-08T00:00:00"/>
    <x v="412"/>
    <x v="1"/>
    <n v="44"/>
    <x v="0"/>
    <n v="3"/>
    <n v="25"/>
    <n v="75"/>
    <n v="75"/>
    <x v="2"/>
    <x v="9"/>
  </r>
  <r>
    <n v="414"/>
    <d v="2023-05-09T00:00:00"/>
    <x v="413"/>
    <x v="0"/>
    <n v="48"/>
    <x v="0"/>
    <n v="4"/>
    <n v="25"/>
    <n v="100"/>
    <n v="100"/>
    <x v="1"/>
    <x v="3"/>
  </r>
  <r>
    <n v="415"/>
    <d v="2023-01-27T00:00:00"/>
    <x v="414"/>
    <x v="0"/>
    <n v="53"/>
    <x v="1"/>
    <n v="2"/>
    <n v="30"/>
    <n v="60"/>
    <n v="60"/>
    <x v="1"/>
    <x v="2"/>
  </r>
  <r>
    <n v="416"/>
    <d v="2023-02-17T00:00:00"/>
    <x v="415"/>
    <x v="0"/>
    <n v="53"/>
    <x v="2"/>
    <n v="4"/>
    <n v="500"/>
    <n v="2000"/>
    <n v="2000"/>
    <x v="1"/>
    <x v="1"/>
  </r>
  <r>
    <n v="417"/>
    <d v="2023-11-21T00:00:00"/>
    <x v="416"/>
    <x v="0"/>
    <n v="43"/>
    <x v="2"/>
    <n v="3"/>
    <n v="300"/>
    <n v="900"/>
    <n v="900"/>
    <x v="2"/>
    <x v="0"/>
  </r>
  <r>
    <n v="418"/>
    <d v="2023-08-05T00:00:00"/>
    <x v="417"/>
    <x v="1"/>
    <n v="60"/>
    <x v="2"/>
    <n v="2"/>
    <n v="500"/>
    <n v="1000"/>
    <n v="1000"/>
    <x v="3"/>
    <x v="8"/>
  </r>
  <r>
    <n v="419"/>
    <d v="2023-05-22T00:00:00"/>
    <x v="418"/>
    <x v="1"/>
    <n v="44"/>
    <x v="1"/>
    <n v="3"/>
    <n v="30"/>
    <n v="90"/>
    <n v="90"/>
    <x v="2"/>
    <x v="3"/>
  </r>
  <r>
    <n v="420"/>
    <d v="2023-01-23T00:00:00"/>
    <x v="419"/>
    <x v="1"/>
    <n v="22"/>
    <x v="1"/>
    <n v="4"/>
    <n v="500"/>
    <n v="2000"/>
    <n v="2000"/>
    <x v="4"/>
    <x v="2"/>
  </r>
  <r>
    <n v="421"/>
    <d v="2023-01-02T00:00:00"/>
    <x v="420"/>
    <x v="1"/>
    <n v="37"/>
    <x v="1"/>
    <n v="3"/>
    <n v="500"/>
    <n v="1500"/>
    <n v="1500"/>
    <x v="2"/>
    <x v="2"/>
  </r>
  <r>
    <n v="422"/>
    <d v="2023-06-20T00:00:00"/>
    <x v="421"/>
    <x v="1"/>
    <n v="28"/>
    <x v="1"/>
    <n v="3"/>
    <n v="30"/>
    <n v="90"/>
    <n v="90"/>
    <x v="0"/>
    <x v="10"/>
  </r>
  <r>
    <n v="423"/>
    <d v="2023-03-08T00:00:00"/>
    <x v="422"/>
    <x v="1"/>
    <n v="27"/>
    <x v="1"/>
    <n v="1"/>
    <n v="25"/>
    <n v="25"/>
    <n v="25"/>
    <x v="0"/>
    <x v="5"/>
  </r>
  <r>
    <n v="424"/>
    <d v="2023-11-23T00:00:00"/>
    <x v="423"/>
    <x v="0"/>
    <n v="57"/>
    <x v="0"/>
    <n v="4"/>
    <n v="300"/>
    <n v="1200"/>
    <n v="1200"/>
    <x v="3"/>
    <x v="0"/>
  </r>
  <r>
    <n v="425"/>
    <d v="2023-05-15T00:00:00"/>
    <x v="424"/>
    <x v="1"/>
    <n v="55"/>
    <x v="2"/>
    <n v="4"/>
    <n v="30"/>
    <n v="120"/>
    <n v="120"/>
    <x v="3"/>
    <x v="3"/>
  </r>
  <r>
    <n v="426"/>
    <d v="2023-03-24T00:00:00"/>
    <x v="425"/>
    <x v="0"/>
    <n v="23"/>
    <x v="2"/>
    <n v="3"/>
    <n v="50"/>
    <n v="150"/>
    <n v="150"/>
    <x v="4"/>
    <x v="5"/>
  </r>
  <r>
    <n v="427"/>
    <d v="2023-08-15T00:00:00"/>
    <x v="426"/>
    <x v="0"/>
    <n v="25"/>
    <x v="2"/>
    <n v="1"/>
    <n v="25"/>
    <n v="25"/>
    <n v="25"/>
    <x v="0"/>
    <x v="8"/>
  </r>
  <r>
    <n v="428"/>
    <d v="2023-10-10T00:00:00"/>
    <x v="427"/>
    <x v="1"/>
    <n v="40"/>
    <x v="2"/>
    <n v="4"/>
    <n v="50"/>
    <n v="200"/>
    <n v="200"/>
    <x v="2"/>
    <x v="7"/>
  </r>
  <r>
    <n v="429"/>
    <d v="2023-12-28T00:00:00"/>
    <x v="428"/>
    <x v="0"/>
    <n v="64"/>
    <x v="2"/>
    <n v="2"/>
    <n v="25"/>
    <n v="50"/>
    <n v="50"/>
    <x v="3"/>
    <x v="6"/>
  </r>
  <r>
    <n v="430"/>
    <d v="2023-08-07T00:00:00"/>
    <x v="429"/>
    <x v="1"/>
    <n v="43"/>
    <x v="2"/>
    <n v="3"/>
    <n v="300"/>
    <n v="900"/>
    <n v="900"/>
    <x v="2"/>
    <x v="8"/>
  </r>
  <r>
    <n v="431"/>
    <d v="2023-10-15T00:00:00"/>
    <x v="430"/>
    <x v="0"/>
    <n v="63"/>
    <x v="2"/>
    <n v="4"/>
    <n v="300"/>
    <n v="1200"/>
    <n v="1200"/>
    <x v="3"/>
    <x v="7"/>
  </r>
  <r>
    <n v="432"/>
    <d v="2023-01-05T00:00:00"/>
    <x v="431"/>
    <x v="1"/>
    <n v="60"/>
    <x v="2"/>
    <n v="2"/>
    <n v="500"/>
    <n v="1000"/>
    <n v="1000"/>
    <x v="3"/>
    <x v="2"/>
  </r>
  <r>
    <n v="433"/>
    <d v="2023-02-27T00:00:00"/>
    <x v="432"/>
    <x v="0"/>
    <n v="29"/>
    <x v="0"/>
    <n v="4"/>
    <n v="50"/>
    <n v="200"/>
    <n v="200"/>
    <x v="0"/>
    <x v="1"/>
  </r>
  <r>
    <n v="434"/>
    <d v="2023-02-08T00:00:00"/>
    <x v="433"/>
    <x v="1"/>
    <n v="43"/>
    <x v="2"/>
    <n v="2"/>
    <n v="25"/>
    <n v="50"/>
    <n v="50"/>
    <x v="2"/>
    <x v="1"/>
  </r>
  <r>
    <n v="435"/>
    <d v="2023-12-20T00:00:00"/>
    <x v="434"/>
    <x v="1"/>
    <n v="30"/>
    <x v="0"/>
    <n v="3"/>
    <n v="300"/>
    <n v="900"/>
    <n v="900"/>
    <x v="0"/>
    <x v="6"/>
  </r>
  <r>
    <n v="436"/>
    <d v="2023-03-18T00:00:00"/>
    <x v="435"/>
    <x v="1"/>
    <n v="57"/>
    <x v="1"/>
    <n v="4"/>
    <n v="30"/>
    <n v="120"/>
    <n v="120"/>
    <x v="3"/>
    <x v="5"/>
  </r>
  <r>
    <n v="437"/>
    <d v="2023-10-07T00:00:00"/>
    <x v="436"/>
    <x v="1"/>
    <n v="35"/>
    <x v="2"/>
    <n v="4"/>
    <n v="300"/>
    <n v="1200"/>
    <n v="1200"/>
    <x v="2"/>
    <x v="7"/>
  </r>
  <r>
    <n v="438"/>
    <d v="2023-01-19T00:00:00"/>
    <x v="437"/>
    <x v="1"/>
    <n v="42"/>
    <x v="1"/>
    <n v="1"/>
    <n v="30"/>
    <n v="30"/>
    <n v="30"/>
    <x v="2"/>
    <x v="2"/>
  </r>
  <r>
    <n v="439"/>
    <d v="2023-07-09T00:00:00"/>
    <x v="438"/>
    <x v="0"/>
    <n v="50"/>
    <x v="1"/>
    <n v="3"/>
    <n v="25"/>
    <n v="75"/>
    <n v="75"/>
    <x v="1"/>
    <x v="11"/>
  </r>
  <r>
    <n v="440"/>
    <d v="2023-10-26T00:00:00"/>
    <x v="439"/>
    <x v="0"/>
    <n v="64"/>
    <x v="1"/>
    <n v="2"/>
    <n v="300"/>
    <n v="600"/>
    <n v="600"/>
    <x v="3"/>
    <x v="7"/>
  </r>
  <r>
    <n v="441"/>
    <d v="2023-10-10T00:00:00"/>
    <x v="440"/>
    <x v="0"/>
    <n v="57"/>
    <x v="0"/>
    <n v="4"/>
    <n v="300"/>
    <n v="1200"/>
    <n v="1200"/>
    <x v="3"/>
    <x v="7"/>
  </r>
  <r>
    <n v="442"/>
    <d v="2023-03-17T00:00:00"/>
    <x v="441"/>
    <x v="1"/>
    <n v="60"/>
    <x v="1"/>
    <n v="4"/>
    <n v="25"/>
    <n v="100"/>
    <n v="100"/>
    <x v="3"/>
    <x v="5"/>
  </r>
  <r>
    <n v="443"/>
    <d v="2023-08-09T00:00:00"/>
    <x v="442"/>
    <x v="0"/>
    <n v="29"/>
    <x v="1"/>
    <n v="2"/>
    <n v="300"/>
    <n v="600"/>
    <n v="600"/>
    <x v="0"/>
    <x v="8"/>
  </r>
  <r>
    <n v="444"/>
    <d v="2023-03-07T00:00:00"/>
    <x v="443"/>
    <x v="1"/>
    <n v="61"/>
    <x v="1"/>
    <n v="3"/>
    <n v="30"/>
    <n v="90"/>
    <n v="90"/>
    <x v="3"/>
    <x v="5"/>
  </r>
  <r>
    <n v="445"/>
    <d v="2023-01-22T00:00:00"/>
    <x v="444"/>
    <x v="1"/>
    <n v="53"/>
    <x v="2"/>
    <n v="1"/>
    <n v="300"/>
    <n v="300"/>
    <n v="300"/>
    <x v="1"/>
    <x v="2"/>
  </r>
  <r>
    <n v="446"/>
    <d v="2023-06-07T00:00:00"/>
    <x v="445"/>
    <x v="0"/>
    <n v="21"/>
    <x v="2"/>
    <n v="1"/>
    <n v="50"/>
    <n v="50"/>
    <n v="50"/>
    <x v="4"/>
    <x v="10"/>
  </r>
  <r>
    <n v="447"/>
    <d v="2023-07-06T00:00:00"/>
    <x v="446"/>
    <x v="0"/>
    <n v="22"/>
    <x v="0"/>
    <n v="4"/>
    <n v="500"/>
    <n v="2000"/>
    <n v="2000"/>
    <x v="4"/>
    <x v="11"/>
  </r>
  <r>
    <n v="448"/>
    <d v="2023-01-21T00:00:00"/>
    <x v="447"/>
    <x v="1"/>
    <n v="54"/>
    <x v="0"/>
    <n v="2"/>
    <n v="30"/>
    <n v="60"/>
    <n v="60"/>
    <x v="1"/>
    <x v="2"/>
  </r>
  <r>
    <n v="449"/>
    <d v="2023-07-03T00:00:00"/>
    <x v="448"/>
    <x v="0"/>
    <n v="25"/>
    <x v="2"/>
    <n v="4"/>
    <n v="50"/>
    <n v="200"/>
    <n v="200"/>
    <x v="0"/>
    <x v="11"/>
  </r>
  <r>
    <n v="450"/>
    <d v="2023-04-18T00:00:00"/>
    <x v="449"/>
    <x v="1"/>
    <n v="59"/>
    <x v="0"/>
    <n v="2"/>
    <n v="25"/>
    <n v="50"/>
    <n v="50"/>
    <x v="3"/>
    <x v="4"/>
  </r>
  <r>
    <n v="451"/>
    <d v="2023-12-16T00:00:00"/>
    <x v="450"/>
    <x v="1"/>
    <n v="45"/>
    <x v="2"/>
    <n v="1"/>
    <n v="30"/>
    <n v="30"/>
    <n v="30"/>
    <x v="1"/>
    <x v="6"/>
  </r>
  <r>
    <n v="452"/>
    <d v="2023-05-08T00:00:00"/>
    <x v="451"/>
    <x v="1"/>
    <n v="48"/>
    <x v="1"/>
    <n v="3"/>
    <n v="500"/>
    <n v="1500"/>
    <n v="1500"/>
    <x v="1"/>
    <x v="3"/>
  </r>
  <r>
    <n v="453"/>
    <d v="2023-12-08T00:00:00"/>
    <x v="452"/>
    <x v="1"/>
    <n v="26"/>
    <x v="1"/>
    <n v="2"/>
    <n v="500"/>
    <n v="1000"/>
    <n v="1000"/>
    <x v="0"/>
    <x v="6"/>
  </r>
  <r>
    <n v="454"/>
    <d v="2023-02-22T00:00:00"/>
    <x v="453"/>
    <x v="1"/>
    <n v="46"/>
    <x v="0"/>
    <n v="1"/>
    <n v="25"/>
    <n v="25"/>
    <n v="25"/>
    <x v="1"/>
    <x v="1"/>
  </r>
  <r>
    <n v="455"/>
    <d v="2023-07-01T00:00:00"/>
    <x v="454"/>
    <x v="0"/>
    <n v="31"/>
    <x v="2"/>
    <n v="4"/>
    <n v="25"/>
    <n v="100"/>
    <n v="100"/>
    <x v="0"/>
    <x v="11"/>
  </r>
  <r>
    <n v="456"/>
    <d v="2023-10-14T00:00:00"/>
    <x v="455"/>
    <x v="0"/>
    <n v="57"/>
    <x v="2"/>
    <n v="2"/>
    <n v="30"/>
    <n v="60"/>
    <n v="60"/>
    <x v="3"/>
    <x v="7"/>
  </r>
  <r>
    <n v="457"/>
    <d v="2023-07-28T00:00:00"/>
    <x v="456"/>
    <x v="1"/>
    <n v="58"/>
    <x v="0"/>
    <n v="3"/>
    <n v="300"/>
    <n v="900"/>
    <n v="900"/>
    <x v="3"/>
    <x v="11"/>
  </r>
  <r>
    <n v="458"/>
    <d v="2023-11-14T00:00:00"/>
    <x v="457"/>
    <x v="1"/>
    <n v="39"/>
    <x v="2"/>
    <n v="4"/>
    <n v="25"/>
    <n v="100"/>
    <n v="100"/>
    <x v="2"/>
    <x v="0"/>
  </r>
  <r>
    <n v="459"/>
    <d v="2023-03-21T00:00:00"/>
    <x v="458"/>
    <x v="0"/>
    <n v="28"/>
    <x v="1"/>
    <n v="4"/>
    <n v="300"/>
    <n v="1200"/>
    <n v="1200"/>
    <x v="0"/>
    <x v="5"/>
  </r>
  <r>
    <n v="460"/>
    <d v="2023-05-02T00:00:00"/>
    <x v="459"/>
    <x v="0"/>
    <n v="40"/>
    <x v="0"/>
    <n v="1"/>
    <n v="50"/>
    <n v="50"/>
    <n v="50"/>
    <x v="2"/>
    <x v="3"/>
  </r>
  <r>
    <n v="461"/>
    <d v="2023-03-25T00:00:00"/>
    <x v="460"/>
    <x v="1"/>
    <n v="18"/>
    <x v="0"/>
    <n v="2"/>
    <n v="500"/>
    <n v="1000"/>
    <n v="1000"/>
    <x v="4"/>
    <x v="5"/>
  </r>
  <r>
    <n v="462"/>
    <d v="2023-04-01T00:00:00"/>
    <x v="461"/>
    <x v="0"/>
    <n v="63"/>
    <x v="2"/>
    <n v="4"/>
    <n v="300"/>
    <n v="1200"/>
    <n v="1200"/>
    <x v="3"/>
    <x v="4"/>
  </r>
  <r>
    <n v="463"/>
    <d v="2023-07-31T00:00:00"/>
    <x v="462"/>
    <x v="1"/>
    <n v="54"/>
    <x v="0"/>
    <n v="3"/>
    <n v="500"/>
    <n v="1500"/>
    <n v="1500"/>
    <x v="1"/>
    <x v="11"/>
  </r>
  <r>
    <n v="464"/>
    <d v="2023-01-13T00:00:00"/>
    <x v="463"/>
    <x v="0"/>
    <n v="38"/>
    <x v="2"/>
    <n v="2"/>
    <n v="300"/>
    <n v="600"/>
    <n v="600"/>
    <x v="2"/>
    <x v="2"/>
  </r>
  <r>
    <n v="465"/>
    <d v="2023-04-02T00:00:00"/>
    <x v="464"/>
    <x v="1"/>
    <n v="43"/>
    <x v="2"/>
    <n v="3"/>
    <n v="50"/>
    <n v="150"/>
    <n v="150"/>
    <x v="2"/>
    <x v="4"/>
  </r>
  <r>
    <n v="466"/>
    <d v="2023-06-20T00:00:00"/>
    <x v="465"/>
    <x v="0"/>
    <n v="63"/>
    <x v="2"/>
    <n v="4"/>
    <n v="25"/>
    <n v="100"/>
    <n v="100"/>
    <x v="3"/>
    <x v="10"/>
  </r>
  <r>
    <n v="467"/>
    <d v="2023-07-30T00:00:00"/>
    <x v="466"/>
    <x v="1"/>
    <n v="53"/>
    <x v="2"/>
    <n v="3"/>
    <n v="50"/>
    <n v="150"/>
    <n v="150"/>
    <x v="1"/>
    <x v="11"/>
  </r>
  <r>
    <n v="468"/>
    <d v="2023-12-09T00:00:00"/>
    <x v="467"/>
    <x v="0"/>
    <n v="40"/>
    <x v="2"/>
    <n v="1"/>
    <n v="25"/>
    <n v="25"/>
    <n v="25"/>
    <x v="2"/>
    <x v="6"/>
  </r>
  <r>
    <n v="469"/>
    <d v="2023-05-08T00:00:00"/>
    <x v="468"/>
    <x v="0"/>
    <n v="18"/>
    <x v="0"/>
    <n v="3"/>
    <n v="25"/>
    <n v="75"/>
    <n v="75"/>
    <x v="4"/>
    <x v="3"/>
  </r>
  <r>
    <n v="470"/>
    <d v="2023-05-17T00:00:00"/>
    <x v="469"/>
    <x v="1"/>
    <n v="57"/>
    <x v="1"/>
    <n v="2"/>
    <n v="500"/>
    <n v="1000"/>
    <n v="1000"/>
    <x v="3"/>
    <x v="3"/>
  </r>
  <r>
    <n v="471"/>
    <d v="2023-03-23T00:00:00"/>
    <x v="470"/>
    <x v="0"/>
    <n v="32"/>
    <x v="1"/>
    <n v="3"/>
    <n v="50"/>
    <n v="150"/>
    <n v="150"/>
    <x v="0"/>
    <x v="5"/>
  </r>
  <r>
    <n v="472"/>
    <d v="2023-12-26T00:00:00"/>
    <x v="471"/>
    <x v="1"/>
    <n v="38"/>
    <x v="0"/>
    <n v="3"/>
    <n v="300"/>
    <n v="900"/>
    <n v="900"/>
    <x v="2"/>
    <x v="6"/>
  </r>
  <r>
    <n v="473"/>
    <d v="2023-02-25T00:00:00"/>
    <x v="472"/>
    <x v="0"/>
    <n v="64"/>
    <x v="0"/>
    <n v="1"/>
    <n v="50"/>
    <n v="50"/>
    <n v="50"/>
    <x v="3"/>
    <x v="1"/>
  </r>
  <r>
    <n v="474"/>
    <d v="2023-07-15T00:00:00"/>
    <x v="473"/>
    <x v="1"/>
    <n v="26"/>
    <x v="1"/>
    <n v="3"/>
    <n v="500"/>
    <n v="1500"/>
    <n v="1500"/>
    <x v="0"/>
    <x v="11"/>
  </r>
  <r>
    <n v="475"/>
    <d v="2023-01-20T00:00:00"/>
    <x v="474"/>
    <x v="0"/>
    <n v="26"/>
    <x v="1"/>
    <n v="3"/>
    <n v="25"/>
    <n v="75"/>
    <n v="75"/>
    <x v="0"/>
    <x v="2"/>
  </r>
  <r>
    <n v="476"/>
    <d v="2023-08-29T00:00:00"/>
    <x v="475"/>
    <x v="1"/>
    <n v="27"/>
    <x v="1"/>
    <n v="4"/>
    <n v="500"/>
    <n v="2000"/>
    <n v="2000"/>
    <x v="0"/>
    <x v="8"/>
  </r>
  <r>
    <n v="477"/>
    <d v="2023-04-24T00:00:00"/>
    <x v="476"/>
    <x v="0"/>
    <n v="43"/>
    <x v="1"/>
    <n v="4"/>
    <n v="30"/>
    <n v="120"/>
    <n v="120"/>
    <x v="2"/>
    <x v="4"/>
  </r>
  <r>
    <n v="478"/>
    <d v="2023-04-13T00:00:00"/>
    <x v="477"/>
    <x v="1"/>
    <n v="58"/>
    <x v="1"/>
    <n v="2"/>
    <n v="30"/>
    <n v="60"/>
    <n v="60"/>
    <x v="3"/>
    <x v="4"/>
  </r>
  <r>
    <n v="479"/>
    <d v="2023-08-24T00:00:00"/>
    <x v="478"/>
    <x v="0"/>
    <n v="52"/>
    <x v="2"/>
    <n v="4"/>
    <n v="300"/>
    <n v="1200"/>
    <n v="1200"/>
    <x v="1"/>
    <x v="8"/>
  </r>
  <r>
    <n v="480"/>
    <d v="2023-06-29T00:00:00"/>
    <x v="479"/>
    <x v="1"/>
    <n v="42"/>
    <x v="0"/>
    <n v="4"/>
    <n v="500"/>
    <n v="2000"/>
    <n v="2000"/>
    <x v="2"/>
    <x v="10"/>
  </r>
  <r>
    <n v="481"/>
    <d v="2023-06-06T00:00:00"/>
    <x v="480"/>
    <x v="1"/>
    <n v="43"/>
    <x v="2"/>
    <n v="4"/>
    <n v="300"/>
    <n v="1200"/>
    <n v="1200"/>
    <x v="2"/>
    <x v="10"/>
  </r>
  <r>
    <n v="482"/>
    <d v="2023-04-27T00:00:00"/>
    <x v="481"/>
    <x v="1"/>
    <n v="28"/>
    <x v="1"/>
    <n v="4"/>
    <n v="300"/>
    <n v="1200"/>
    <n v="1200"/>
    <x v="0"/>
    <x v="4"/>
  </r>
  <r>
    <n v="483"/>
    <d v="2023-04-25T00:00:00"/>
    <x v="482"/>
    <x v="0"/>
    <n v="55"/>
    <x v="1"/>
    <n v="1"/>
    <n v="30"/>
    <n v="30"/>
    <n v="30"/>
    <x v="3"/>
    <x v="4"/>
  </r>
  <r>
    <n v="484"/>
    <d v="2023-01-13T00:00:00"/>
    <x v="483"/>
    <x v="1"/>
    <n v="19"/>
    <x v="1"/>
    <n v="4"/>
    <n v="300"/>
    <n v="1200"/>
    <n v="1200"/>
    <x v="4"/>
    <x v="2"/>
  </r>
  <r>
    <n v="485"/>
    <d v="2023-12-04T00:00:00"/>
    <x v="484"/>
    <x v="0"/>
    <n v="24"/>
    <x v="2"/>
    <n v="1"/>
    <n v="30"/>
    <n v="30"/>
    <n v="30"/>
    <x v="4"/>
    <x v="6"/>
  </r>
  <r>
    <n v="486"/>
    <d v="2023-04-09T00:00:00"/>
    <x v="485"/>
    <x v="1"/>
    <n v="35"/>
    <x v="2"/>
    <n v="1"/>
    <n v="25"/>
    <n v="25"/>
    <n v="25"/>
    <x v="2"/>
    <x v="4"/>
  </r>
  <r>
    <n v="487"/>
    <d v="2023-07-24T00:00:00"/>
    <x v="486"/>
    <x v="0"/>
    <n v="44"/>
    <x v="1"/>
    <n v="4"/>
    <n v="500"/>
    <n v="2000"/>
    <n v="2000"/>
    <x v="2"/>
    <x v="11"/>
  </r>
  <r>
    <n v="488"/>
    <d v="2023-06-18T00:00:00"/>
    <x v="487"/>
    <x v="1"/>
    <n v="51"/>
    <x v="2"/>
    <n v="3"/>
    <n v="300"/>
    <n v="900"/>
    <n v="900"/>
    <x v="1"/>
    <x v="10"/>
  </r>
  <r>
    <n v="489"/>
    <d v="2023-05-23T00:00:00"/>
    <x v="488"/>
    <x v="0"/>
    <n v="44"/>
    <x v="2"/>
    <n v="1"/>
    <n v="30"/>
    <n v="30"/>
    <n v="30"/>
    <x v="2"/>
    <x v="3"/>
  </r>
  <r>
    <n v="490"/>
    <d v="2023-02-05T00:00:00"/>
    <x v="489"/>
    <x v="0"/>
    <n v="34"/>
    <x v="1"/>
    <n v="3"/>
    <n v="50"/>
    <n v="150"/>
    <n v="150"/>
    <x v="0"/>
    <x v="1"/>
  </r>
  <r>
    <n v="491"/>
    <d v="2023-05-23T00:00:00"/>
    <x v="490"/>
    <x v="1"/>
    <n v="60"/>
    <x v="2"/>
    <n v="3"/>
    <n v="300"/>
    <n v="900"/>
    <n v="900"/>
    <x v="3"/>
    <x v="3"/>
  </r>
  <r>
    <n v="492"/>
    <d v="2023-06-29T00:00:00"/>
    <x v="491"/>
    <x v="0"/>
    <n v="61"/>
    <x v="0"/>
    <n v="4"/>
    <n v="25"/>
    <n v="100"/>
    <n v="100"/>
    <x v="3"/>
    <x v="10"/>
  </r>
  <r>
    <n v="493"/>
    <d v="2023-11-25T00:00:00"/>
    <x v="492"/>
    <x v="0"/>
    <n v="41"/>
    <x v="0"/>
    <n v="2"/>
    <n v="25"/>
    <n v="50"/>
    <n v="50"/>
    <x v="2"/>
    <x v="0"/>
  </r>
  <r>
    <n v="494"/>
    <d v="2023-09-18T00:00:00"/>
    <x v="493"/>
    <x v="1"/>
    <n v="42"/>
    <x v="0"/>
    <n v="4"/>
    <n v="50"/>
    <n v="200"/>
    <n v="200"/>
    <x v="2"/>
    <x v="9"/>
  </r>
  <r>
    <n v="495"/>
    <d v="2023-07-24T00:00:00"/>
    <x v="494"/>
    <x v="0"/>
    <n v="24"/>
    <x v="0"/>
    <n v="2"/>
    <n v="30"/>
    <n v="60"/>
    <n v="60"/>
    <x v="4"/>
    <x v="11"/>
  </r>
  <r>
    <n v="496"/>
    <d v="2023-12-14T00:00:00"/>
    <x v="495"/>
    <x v="0"/>
    <n v="23"/>
    <x v="1"/>
    <n v="2"/>
    <n v="300"/>
    <n v="600"/>
    <n v="600"/>
    <x v="4"/>
    <x v="6"/>
  </r>
  <r>
    <n v="497"/>
    <d v="2023-10-02T00:00:00"/>
    <x v="496"/>
    <x v="0"/>
    <n v="41"/>
    <x v="1"/>
    <n v="4"/>
    <n v="30"/>
    <n v="120"/>
    <n v="120"/>
    <x v="2"/>
    <x v="7"/>
  </r>
  <r>
    <n v="498"/>
    <d v="2023-06-19T00:00:00"/>
    <x v="497"/>
    <x v="1"/>
    <n v="50"/>
    <x v="1"/>
    <n v="4"/>
    <n v="25"/>
    <n v="100"/>
    <n v="100"/>
    <x v="1"/>
    <x v="10"/>
  </r>
  <r>
    <n v="499"/>
    <d v="2023-01-15T00:00:00"/>
    <x v="498"/>
    <x v="0"/>
    <n v="46"/>
    <x v="0"/>
    <n v="2"/>
    <n v="30"/>
    <n v="60"/>
    <n v="60"/>
    <x v="1"/>
    <x v="2"/>
  </r>
  <r>
    <n v="500"/>
    <d v="2023-03-01T00:00:00"/>
    <x v="499"/>
    <x v="1"/>
    <n v="60"/>
    <x v="0"/>
    <n v="4"/>
    <n v="25"/>
    <n v="100"/>
    <n v="100"/>
    <x v="3"/>
    <x v="5"/>
  </r>
  <r>
    <n v="501"/>
    <d v="2023-05-14T00:00:00"/>
    <x v="500"/>
    <x v="0"/>
    <n v="39"/>
    <x v="2"/>
    <n v="2"/>
    <n v="30"/>
    <n v="60"/>
    <n v="60"/>
    <x v="2"/>
    <x v="3"/>
  </r>
  <r>
    <n v="502"/>
    <d v="2023-04-02T00:00:00"/>
    <x v="501"/>
    <x v="0"/>
    <n v="43"/>
    <x v="2"/>
    <n v="3"/>
    <n v="50"/>
    <n v="150"/>
    <n v="150"/>
    <x v="2"/>
    <x v="4"/>
  </r>
  <r>
    <n v="503"/>
    <d v="2023-10-25T00:00:00"/>
    <x v="502"/>
    <x v="0"/>
    <n v="45"/>
    <x v="0"/>
    <n v="4"/>
    <n v="500"/>
    <n v="2000"/>
    <n v="2000"/>
    <x v="1"/>
    <x v="7"/>
  </r>
  <r>
    <n v="504"/>
    <d v="2023-05-16T00:00:00"/>
    <x v="503"/>
    <x v="1"/>
    <n v="38"/>
    <x v="0"/>
    <n v="3"/>
    <n v="50"/>
    <n v="150"/>
    <n v="150"/>
    <x v="2"/>
    <x v="3"/>
  </r>
  <r>
    <n v="505"/>
    <d v="2023-01-20T00:00:00"/>
    <x v="504"/>
    <x v="0"/>
    <n v="24"/>
    <x v="0"/>
    <n v="1"/>
    <n v="50"/>
    <n v="50"/>
    <n v="50"/>
    <x v="4"/>
    <x v="2"/>
  </r>
  <r>
    <n v="506"/>
    <d v="2023-02-25T00:00:00"/>
    <x v="505"/>
    <x v="0"/>
    <n v="34"/>
    <x v="0"/>
    <n v="3"/>
    <n v="500"/>
    <n v="1500"/>
    <n v="1500"/>
    <x v="0"/>
    <x v="1"/>
  </r>
  <r>
    <n v="507"/>
    <d v="2023-11-02T00:00:00"/>
    <x v="506"/>
    <x v="1"/>
    <n v="37"/>
    <x v="2"/>
    <n v="3"/>
    <n v="500"/>
    <n v="1500"/>
    <n v="1500"/>
    <x v="2"/>
    <x v="0"/>
  </r>
  <r>
    <n v="508"/>
    <d v="2023-08-11T00:00:00"/>
    <x v="507"/>
    <x v="0"/>
    <n v="58"/>
    <x v="0"/>
    <n v="2"/>
    <n v="300"/>
    <n v="600"/>
    <n v="600"/>
    <x v="3"/>
    <x v="8"/>
  </r>
  <r>
    <n v="509"/>
    <d v="2023-06-26T00:00:00"/>
    <x v="508"/>
    <x v="1"/>
    <n v="37"/>
    <x v="2"/>
    <n v="3"/>
    <n v="300"/>
    <n v="900"/>
    <n v="900"/>
    <x v="2"/>
    <x v="10"/>
  </r>
  <r>
    <n v="510"/>
    <d v="2023-06-10T00:00:00"/>
    <x v="509"/>
    <x v="1"/>
    <n v="39"/>
    <x v="0"/>
    <n v="4"/>
    <n v="50"/>
    <n v="200"/>
    <n v="200"/>
    <x v="2"/>
    <x v="10"/>
  </r>
  <r>
    <n v="511"/>
    <d v="2023-08-12T00:00:00"/>
    <x v="510"/>
    <x v="0"/>
    <n v="45"/>
    <x v="0"/>
    <n v="2"/>
    <n v="50"/>
    <n v="100"/>
    <n v="100"/>
    <x v="1"/>
    <x v="8"/>
  </r>
  <r>
    <n v="512"/>
    <d v="2023-11-07T00:00:00"/>
    <x v="511"/>
    <x v="1"/>
    <n v="57"/>
    <x v="0"/>
    <n v="1"/>
    <n v="25"/>
    <n v="25"/>
    <n v="25"/>
    <x v="3"/>
    <x v="0"/>
  </r>
  <r>
    <n v="513"/>
    <d v="2023-09-19T00:00:00"/>
    <x v="512"/>
    <x v="0"/>
    <n v="24"/>
    <x v="2"/>
    <n v="4"/>
    <n v="25"/>
    <n v="100"/>
    <n v="100"/>
    <x v="4"/>
    <x v="9"/>
  </r>
  <r>
    <n v="514"/>
    <d v="2023-03-01T00:00:00"/>
    <x v="513"/>
    <x v="1"/>
    <n v="18"/>
    <x v="2"/>
    <n v="1"/>
    <n v="300"/>
    <n v="300"/>
    <n v="300"/>
    <x v="4"/>
    <x v="5"/>
  </r>
  <r>
    <n v="515"/>
    <d v="2023-07-17T00:00:00"/>
    <x v="514"/>
    <x v="1"/>
    <n v="49"/>
    <x v="1"/>
    <n v="3"/>
    <n v="300"/>
    <n v="900"/>
    <n v="900"/>
    <x v="1"/>
    <x v="11"/>
  </r>
  <r>
    <n v="516"/>
    <d v="2023-10-23T00:00:00"/>
    <x v="515"/>
    <x v="0"/>
    <n v="30"/>
    <x v="0"/>
    <n v="4"/>
    <n v="25"/>
    <n v="100"/>
    <n v="100"/>
    <x v="0"/>
    <x v="7"/>
  </r>
  <r>
    <n v="517"/>
    <d v="2023-04-08T00:00:00"/>
    <x v="516"/>
    <x v="1"/>
    <n v="47"/>
    <x v="1"/>
    <n v="4"/>
    <n v="25"/>
    <n v="100"/>
    <n v="100"/>
    <x v="1"/>
    <x v="4"/>
  </r>
  <r>
    <n v="518"/>
    <d v="2023-05-11T00:00:00"/>
    <x v="517"/>
    <x v="1"/>
    <n v="40"/>
    <x v="1"/>
    <n v="1"/>
    <n v="30"/>
    <n v="30"/>
    <n v="30"/>
    <x v="2"/>
    <x v="3"/>
  </r>
  <r>
    <n v="519"/>
    <d v="2023-01-23T00:00:00"/>
    <x v="518"/>
    <x v="1"/>
    <n v="36"/>
    <x v="2"/>
    <n v="4"/>
    <n v="30"/>
    <n v="120"/>
    <n v="120"/>
    <x v="2"/>
    <x v="2"/>
  </r>
  <r>
    <n v="520"/>
    <d v="2023-12-29T00:00:00"/>
    <x v="519"/>
    <x v="1"/>
    <n v="49"/>
    <x v="2"/>
    <n v="4"/>
    <n v="25"/>
    <n v="100"/>
    <n v="100"/>
    <x v="1"/>
    <x v="6"/>
  </r>
  <r>
    <n v="521"/>
    <d v="2023-08-12T00:00:00"/>
    <x v="520"/>
    <x v="1"/>
    <n v="47"/>
    <x v="1"/>
    <n v="4"/>
    <n v="30"/>
    <n v="120"/>
    <n v="120"/>
    <x v="1"/>
    <x v="8"/>
  </r>
  <r>
    <n v="522"/>
    <d v="2023-01-01T00:00:00"/>
    <x v="521"/>
    <x v="0"/>
    <n v="46"/>
    <x v="0"/>
    <n v="3"/>
    <n v="500"/>
    <n v="1500"/>
    <n v="1500"/>
    <x v="1"/>
    <x v="2"/>
  </r>
  <r>
    <n v="523"/>
    <d v="2023-09-24T00:00:00"/>
    <x v="522"/>
    <x v="1"/>
    <n v="62"/>
    <x v="2"/>
    <n v="1"/>
    <n v="300"/>
    <n v="300"/>
    <n v="300"/>
    <x v="3"/>
    <x v="9"/>
  </r>
  <r>
    <n v="524"/>
    <d v="2023-10-03T00:00:00"/>
    <x v="523"/>
    <x v="0"/>
    <n v="46"/>
    <x v="0"/>
    <n v="4"/>
    <n v="300"/>
    <n v="1200"/>
    <n v="1200"/>
    <x v="1"/>
    <x v="7"/>
  </r>
  <r>
    <n v="525"/>
    <d v="2023-12-18T00:00:00"/>
    <x v="524"/>
    <x v="1"/>
    <n v="47"/>
    <x v="0"/>
    <n v="2"/>
    <n v="25"/>
    <n v="50"/>
    <n v="50"/>
    <x v="1"/>
    <x v="6"/>
  </r>
  <r>
    <n v="526"/>
    <d v="2023-12-10T00:00:00"/>
    <x v="525"/>
    <x v="0"/>
    <n v="33"/>
    <x v="1"/>
    <n v="2"/>
    <n v="50"/>
    <n v="100"/>
    <n v="100"/>
    <x v="0"/>
    <x v="6"/>
  </r>
  <r>
    <n v="527"/>
    <d v="2023-04-11T00:00:00"/>
    <x v="526"/>
    <x v="0"/>
    <n v="57"/>
    <x v="1"/>
    <n v="2"/>
    <n v="25"/>
    <n v="50"/>
    <n v="50"/>
    <x v="3"/>
    <x v="4"/>
  </r>
  <r>
    <n v="528"/>
    <d v="2023-07-06T00:00:00"/>
    <x v="527"/>
    <x v="1"/>
    <n v="36"/>
    <x v="1"/>
    <n v="2"/>
    <n v="30"/>
    <n v="60"/>
    <n v="60"/>
    <x v="2"/>
    <x v="11"/>
  </r>
  <r>
    <n v="529"/>
    <d v="2023-08-09T00:00:00"/>
    <x v="528"/>
    <x v="1"/>
    <n v="35"/>
    <x v="1"/>
    <n v="3"/>
    <n v="50"/>
    <n v="150"/>
    <n v="150"/>
    <x v="2"/>
    <x v="8"/>
  </r>
  <r>
    <n v="530"/>
    <d v="2023-02-05T00:00:00"/>
    <x v="529"/>
    <x v="1"/>
    <n v="18"/>
    <x v="2"/>
    <n v="4"/>
    <n v="30"/>
    <n v="120"/>
    <n v="120"/>
    <x v="4"/>
    <x v="1"/>
  </r>
  <r>
    <n v="531"/>
    <d v="2023-12-07T00:00:00"/>
    <x v="530"/>
    <x v="0"/>
    <n v="31"/>
    <x v="2"/>
    <n v="1"/>
    <n v="500"/>
    <n v="500"/>
    <n v="500"/>
    <x v="0"/>
    <x v="6"/>
  </r>
  <r>
    <n v="532"/>
    <d v="2023-06-19T00:00:00"/>
    <x v="531"/>
    <x v="1"/>
    <n v="64"/>
    <x v="1"/>
    <n v="4"/>
    <n v="30"/>
    <n v="120"/>
    <n v="120"/>
    <x v="3"/>
    <x v="10"/>
  </r>
  <r>
    <n v="533"/>
    <d v="2023-11-16T00:00:00"/>
    <x v="532"/>
    <x v="0"/>
    <n v="19"/>
    <x v="2"/>
    <n v="3"/>
    <n v="500"/>
    <n v="1500"/>
    <n v="1500"/>
    <x v="4"/>
    <x v="0"/>
  </r>
  <r>
    <n v="534"/>
    <d v="2023-06-10T00:00:00"/>
    <x v="533"/>
    <x v="0"/>
    <n v="45"/>
    <x v="1"/>
    <n v="2"/>
    <n v="500"/>
    <n v="1000"/>
    <n v="1000"/>
    <x v="1"/>
    <x v="10"/>
  </r>
  <r>
    <n v="535"/>
    <d v="2023-12-06T00:00:00"/>
    <x v="534"/>
    <x v="0"/>
    <n v="47"/>
    <x v="0"/>
    <n v="3"/>
    <n v="30"/>
    <n v="90"/>
    <n v="90"/>
    <x v="1"/>
    <x v="6"/>
  </r>
  <r>
    <n v="536"/>
    <d v="2023-03-05T00:00:00"/>
    <x v="535"/>
    <x v="1"/>
    <n v="55"/>
    <x v="0"/>
    <n v="4"/>
    <n v="30"/>
    <n v="120"/>
    <n v="120"/>
    <x v="3"/>
    <x v="5"/>
  </r>
  <r>
    <n v="537"/>
    <d v="2023-06-03T00:00:00"/>
    <x v="536"/>
    <x v="1"/>
    <n v="21"/>
    <x v="0"/>
    <n v="1"/>
    <n v="500"/>
    <n v="500"/>
    <n v="500"/>
    <x v="4"/>
    <x v="10"/>
  </r>
  <r>
    <n v="538"/>
    <d v="2023-09-17T00:00:00"/>
    <x v="537"/>
    <x v="0"/>
    <n v="18"/>
    <x v="1"/>
    <n v="3"/>
    <n v="50"/>
    <n v="150"/>
    <n v="150"/>
    <x v="4"/>
    <x v="9"/>
  </r>
  <r>
    <n v="539"/>
    <d v="2023-06-08T00:00:00"/>
    <x v="538"/>
    <x v="0"/>
    <n v="25"/>
    <x v="0"/>
    <n v="1"/>
    <n v="500"/>
    <n v="500"/>
    <n v="500"/>
    <x v="0"/>
    <x v="10"/>
  </r>
  <r>
    <n v="540"/>
    <d v="2023-12-08T00:00:00"/>
    <x v="539"/>
    <x v="1"/>
    <n v="46"/>
    <x v="2"/>
    <n v="3"/>
    <n v="300"/>
    <n v="900"/>
    <n v="900"/>
    <x v="1"/>
    <x v="6"/>
  </r>
  <r>
    <n v="541"/>
    <d v="2023-07-29T00:00:00"/>
    <x v="540"/>
    <x v="0"/>
    <n v="56"/>
    <x v="0"/>
    <n v="1"/>
    <n v="500"/>
    <n v="500"/>
    <n v="500"/>
    <x v="3"/>
    <x v="11"/>
  </r>
  <r>
    <n v="542"/>
    <d v="2023-06-17T00:00:00"/>
    <x v="541"/>
    <x v="1"/>
    <n v="20"/>
    <x v="0"/>
    <n v="1"/>
    <n v="50"/>
    <n v="50"/>
    <n v="50"/>
    <x v="4"/>
    <x v="10"/>
  </r>
  <r>
    <n v="543"/>
    <d v="2023-07-26T00:00:00"/>
    <x v="542"/>
    <x v="0"/>
    <n v="49"/>
    <x v="0"/>
    <n v="2"/>
    <n v="300"/>
    <n v="600"/>
    <n v="600"/>
    <x v="1"/>
    <x v="11"/>
  </r>
  <r>
    <n v="544"/>
    <d v="2023-12-23T00:00:00"/>
    <x v="543"/>
    <x v="1"/>
    <n v="27"/>
    <x v="2"/>
    <n v="1"/>
    <n v="25"/>
    <n v="25"/>
    <n v="25"/>
    <x v="0"/>
    <x v="6"/>
  </r>
  <r>
    <n v="545"/>
    <d v="2023-06-01T00:00:00"/>
    <x v="544"/>
    <x v="0"/>
    <n v="27"/>
    <x v="1"/>
    <n v="2"/>
    <n v="25"/>
    <n v="50"/>
    <n v="50"/>
    <x v="0"/>
    <x v="10"/>
  </r>
  <r>
    <n v="546"/>
    <d v="2023-10-11T00:00:00"/>
    <x v="545"/>
    <x v="1"/>
    <n v="36"/>
    <x v="2"/>
    <n v="4"/>
    <n v="50"/>
    <n v="200"/>
    <n v="200"/>
    <x v="2"/>
    <x v="7"/>
  </r>
  <r>
    <n v="547"/>
    <d v="2023-03-07T00:00:00"/>
    <x v="546"/>
    <x v="0"/>
    <n v="63"/>
    <x v="1"/>
    <n v="4"/>
    <n v="500"/>
    <n v="2000"/>
    <n v="2000"/>
    <x v="3"/>
    <x v="5"/>
  </r>
  <r>
    <n v="548"/>
    <d v="2023-04-09T00:00:00"/>
    <x v="547"/>
    <x v="1"/>
    <n v="51"/>
    <x v="1"/>
    <n v="2"/>
    <n v="30"/>
    <n v="60"/>
    <n v="60"/>
    <x v="1"/>
    <x v="4"/>
  </r>
  <r>
    <n v="549"/>
    <d v="2023-08-04T00:00:00"/>
    <x v="548"/>
    <x v="1"/>
    <n v="50"/>
    <x v="0"/>
    <n v="2"/>
    <n v="50"/>
    <n v="100"/>
    <n v="100"/>
    <x v="1"/>
    <x v="8"/>
  </r>
  <r>
    <n v="550"/>
    <d v="2023-12-07T00:00:00"/>
    <x v="549"/>
    <x v="0"/>
    <n v="40"/>
    <x v="1"/>
    <n v="3"/>
    <n v="300"/>
    <n v="900"/>
    <n v="900"/>
    <x v="2"/>
    <x v="6"/>
  </r>
  <r>
    <n v="551"/>
    <d v="2023-07-14T00:00:00"/>
    <x v="550"/>
    <x v="0"/>
    <n v="45"/>
    <x v="2"/>
    <n v="3"/>
    <n v="300"/>
    <n v="900"/>
    <n v="900"/>
    <x v="1"/>
    <x v="11"/>
  </r>
  <r>
    <n v="552"/>
    <d v="2023-12-13T00:00:00"/>
    <x v="551"/>
    <x v="1"/>
    <n v="49"/>
    <x v="2"/>
    <n v="3"/>
    <n v="25"/>
    <n v="75"/>
    <n v="75"/>
    <x v="1"/>
    <x v="6"/>
  </r>
  <r>
    <n v="553"/>
    <d v="2023-03-31T00:00:00"/>
    <x v="552"/>
    <x v="0"/>
    <n v="24"/>
    <x v="1"/>
    <n v="4"/>
    <n v="300"/>
    <n v="1200"/>
    <n v="1200"/>
    <x v="4"/>
    <x v="5"/>
  </r>
  <r>
    <n v="554"/>
    <d v="2023-11-12T00:00:00"/>
    <x v="553"/>
    <x v="1"/>
    <n v="46"/>
    <x v="0"/>
    <n v="3"/>
    <n v="50"/>
    <n v="150"/>
    <n v="150"/>
    <x v="1"/>
    <x v="0"/>
  </r>
  <r>
    <n v="555"/>
    <d v="2023-10-19T00:00:00"/>
    <x v="554"/>
    <x v="0"/>
    <n v="25"/>
    <x v="0"/>
    <n v="1"/>
    <n v="300"/>
    <n v="300"/>
    <n v="300"/>
    <x v="0"/>
    <x v="7"/>
  </r>
  <r>
    <n v="556"/>
    <d v="2023-06-04T00:00:00"/>
    <x v="555"/>
    <x v="1"/>
    <n v="18"/>
    <x v="2"/>
    <n v="1"/>
    <n v="50"/>
    <n v="50"/>
    <n v="50"/>
    <x v="4"/>
    <x v="10"/>
  </r>
  <r>
    <n v="557"/>
    <d v="2023-07-27T00:00:00"/>
    <x v="556"/>
    <x v="1"/>
    <n v="20"/>
    <x v="0"/>
    <n v="3"/>
    <n v="30"/>
    <n v="90"/>
    <n v="90"/>
    <x v="4"/>
    <x v="11"/>
  </r>
  <r>
    <n v="558"/>
    <d v="2023-10-08T00:00:00"/>
    <x v="557"/>
    <x v="1"/>
    <n v="41"/>
    <x v="1"/>
    <n v="1"/>
    <n v="25"/>
    <n v="25"/>
    <n v="25"/>
    <x v="2"/>
    <x v="7"/>
  </r>
  <r>
    <n v="559"/>
    <d v="2023-01-01T00:00:00"/>
    <x v="558"/>
    <x v="1"/>
    <n v="40"/>
    <x v="1"/>
    <n v="4"/>
    <n v="300"/>
    <n v="1200"/>
    <n v="1200"/>
    <x v="2"/>
    <x v="2"/>
  </r>
  <r>
    <n v="560"/>
    <d v="2023-06-05T00:00:00"/>
    <x v="559"/>
    <x v="1"/>
    <n v="25"/>
    <x v="2"/>
    <n v="1"/>
    <n v="50"/>
    <n v="50"/>
    <n v="50"/>
    <x v="0"/>
    <x v="10"/>
  </r>
  <r>
    <n v="561"/>
    <d v="2023-05-27T00:00:00"/>
    <x v="560"/>
    <x v="1"/>
    <n v="64"/>
    <x v="1"/>
    <n v="4"/>
    <n v="500"/>
    <n v="2000"/>
    <n v="2000"/>
    <x v="3"/>
    <x v="3"/>
  </r>
  <r>
    <n v="562"/>
    <d v="2023-04-18T00:00:00"/>
    <x v="561"/>
    <x v="0"/>
    <n v="54"/>
    <x v="2"/>
    <n v="2"/>
    <n v="25"/>
    <n v="50"/>
    <n v="50"/>
    <x v="1"/>
    <x v="4"/>
  </r>
  <r>
    <n v="563"/>
    <d v="2023-08-09T00:00:00"/>
    <x v="562"/>
    <x v="0"/>
    <n v="20"/>
    <x v="1"/>
    <n v="2"/>
    <n v="30"/>
    <n v="60"/>
    <n v="60"/>
    <x v="4"/>
    <x v="8"/>
  </r>
  <r>
    <n v="564"/>
    <d v="2023-10-24T00:00:00"/>
    <x v="563"/>
    <x v="0"/>
    <n v="50"/>
    <x v="2"/>
    <n v="2"/>
    <n v="50"/>
    <n v="100"/>
    <n v="100"/>
    <x v="1"/>
    <x v="7"/>
  </r>
  <r>
    <n v="565"/>
    <d v="2023-11-07T00:00:00"/>
    <x v="564"/>
    <x v="1"/>
    <n v="45"/>
    <x v="0"/>
    <n v="2"/>
    <n v="30"/>
    <n v="60"/>
    <n v="60"/>
    <x v="1"/>
    <x v="0"/>
  </r>
  <r>
    <n v="566"/>
    <d v="2023-12-02T00:00:00"/>
    <x v="565"/>
    <x v="1"/>
    <n v="64"/>
    <x v="1"/>
    <n v="1"/>
    <n v="30"/>
    <n v="30"/>
    <n v="30"/>
    <x v="3"/>
    <x v="6"/>
  </r>
  <r>
    <n v="567"/>
    <d v="2023-06-14T00:00:00"/>
    <x v="566"/>
    <x v="1"/>
    <n v="25"/>
    <x v="1"/>
    <n v="3"/>
    <n v="300"/>
    <n v="900"/>
    <n v="900"/>
    <x v="0"/>
    <x v="10"/>
  </r>
  <r>
    <n v="568"/>
    <d v="2023-08-27T00:00:00"/>
    <x v="567"/>
    <x v="1"/>
    <n v="51"/>
    <x v="2"/>
    <n v="1"/>
    <n v="300"/>
    <n v="300"/>
    <n v="300"/>
    <x v="1"/>
    <x v="8"/>
  </r>
  <r>
    <n v="569"/>
    <d v="2023-08-15T00:00:00"/>
    <x v="568"/>
    <x v="0"/>
    <n v="52"/>
    <x v="2"/>
    <n v="4"/>
    <n v="50"/>
    <n v="200"/>
    <n v="200"/>
    <x v="1"/>
    <x v="8"/>
  </r>
  <r>
    <n v="570"/>
    <d v="2023-08-15T00:00:00"/>
    <x v="569"/>
    <x v="0"/>
    <n v="49"/>
    <x v="1"/>
    <n v="1"/>
    <n v="500"/>
    <n v="500"/>
    <n v="500"/>
    <x v="1"/>
    <x v="8"/>
  </r>
  <r>
    <n v="571"/>
    <d v="2023-12-12T00:00:00"/>
    <x v="570"/>
    <x v="1"/>
    <n v="41"/>
    <x v="2"/>
    <n v="1"/>
    <n v="50"/>
    <n v="50"/>
    <n v="50"/>
    <x v="2"/>
    <x v="6"/>
  </r>
  <r>
    <n v="572"/>
    <d v="2023-04-20T00:00:00"/>
    <x v="571"/>
    <x v="0"/>
    <n v="31"/>
    <x v="1"/>
    <n v="4"/>
    <n v="500"/>
    <n v="2000"/>
    <n v="2000"/>
    <x v="0"/>
    <x v="4"/>
  </r>
  <r>
    <n v="573"/>
    <d v="2023-09-19T00:00:00"/>
    <x v="572"/>
    <x v="0"/>
    <n v="49"/>
    <x v="0"/>
    <n v="2"/>
    <n v="30"/>
    <n v="60"/>
    <n v="60"/>
    <x v="1"/>
    <x v="9"/>
  </r>
  <r>
    <n v="574"/>
    <d v="2023-08-31T00:00:00"/>
    <x v="573"/>
    <x v="1"/>
    <n v="63"/>
    <x v="2"/>
    <n v="2"/>
    <n v="25"/>
    <n v="50"/>
    <n v="50"/>
    <x v="3"/>
    <x v="8"/>
  </r>
  <r>
    <n v="575"/>
    <d v="2023-03-28T00:00:00"/>
    <x v="574"/>
    <x v="0"/>
    <n v="60"/>
    <x v="1"/>
    <n v="2"/>
    <n v="50"/>
    <n v="100"/>
    <n v="100"/>
    <x v="3"/>
    <x v="5"/>
  </r>
  <r>
    <n v="576"/>
    <d v="2023-12-04T00:00:00"/>
    <x v="575"/>
    <x v="1"/>
    <n v="33"/>
    <x v="0"/>
    <n v="3"/>
    <n v="50"/>
    <n v="150"/>
    <n v="150"/>
    <x v="0"/>
    <x v="6"/>
  </r>
  <r>
    <n v="577"/>
    <d v="2023-02-13T00:00:00"/>
    <x v="576"/>
    <x v="0"/>
    <n v="21"/>
    <x v="0"/>
    <n v="4"/>
    <n v="500"/>
    <n v="2000"/>
    <n v="2000"/>
    <x v="4"/>
    <x v="1"/>
  </r>
  <r>
    <n v="578"/>
    <d v="2023-05-26T00:00:00"/>
    <x v="577"/>
    <x v="1"/>
    <n v="54"/>
    <x v="1"/>
    <n v="4"/>
    <n v="30"/>
    <n v="120"/>
    <n v="120"/>
    <x v="1"/>
    <x v="3"/>
  </r>
  <r>
    <n v="579"/>
    <d v="2023-09-21T00:00:00"/>
    <x v="578"/>
    <x v="1"/>
    <n v="38"/>
    <x v="2"/>
    <n v="1"/>
    <n v="30"/>
    <n v="30"/>
    <n v="30"/>
    <x v="2"/>
    <x v="9"/>
  </r>
  <r>
    <n v="580"/>
    <d v="2023-12-06T00:00:00"/>
    <x v="579"/>
    <x v="1"/>
    <n v="31"/>
    <x v="1"/>
    <n v="3"/>
    <n v="500"/>
    <n v="1500"/>
    <n v="1500"/>
    <x v="0"/>
    <x v="6"/>
  </r>
  <r>
    <n v="581"/>
    <d v="2023-11-21T00:00:00"/>
    <x v="580"/>
    <x v="1"/>
    <n v="48"/>
    <x v="0"/>
    <n v="2"/>
    <n v="30"/>
    <n v="60"/>
    <n v="60"/>
    <x v="1"/>
    <x v="0"/>
  </r>
  <r>
    <n v="582"/>
    <d v="2023-11-14T00:00:00"/>
    <x v="581"/>
    <x v="0"/>
    <n v="35"/>
    <x v="1"/>
    <n v="3"/>
    <n v="300"/>
    <n v="900"/>
    <n v="900"/>
    <x v="2"/>
    <x v="0"/>
  </r>
  <r>
    <n v="583"/>
    <d v="2023-06-21T00:00:00"/>
    <x v="582"/>
    <x v="1"/>
    <n v="24"/>
    <x v="2"/>
    <n v="4"/>
    <n v="25"/>
    <n v="100"/>
    <n v="100"/>
    <x v="4"/>
    <x v="10"/>
  </r>
  <r>
    <n v="584"/>
    <d v="2023-02-17T00:00:00"/>
    <x v="583"/>
    <x v="1"/>
    <n v="27"/>
    <x v="0"/>
    <n v="4"/>
    <n v="50"/>
    <n v="200"/>
    <n v="200"/>
    <x v="0"/>
    <x v="1"/>
  </r>
  <r>
    <n v="585"/>
    <d v="2023-05-01T00:00:00"/>
    <x v="584"/>
    <x v="1"/>
    <n v="24"/>
    <x v="1"/>
    <n v="1"/>
    <n v="25"/>
    <n v="25"/>
    <n v="25"/>
    <x v="4"/>
    <x v="3"/>
  </r>
  <r>
    <n v="586"/>
    <d v="2023-12-11T00:00:00"/>
    <x v="585"/>
    <x v="0"/>
    <n v="50"/>
    <x v="2"/>
    <n v="1"/>
    <n v="50"/>
    <n v="50"/>
    <n v="50"/>
    <x v="1"/>
    <x v="6"/>
  </r>
  <r>
    <n v="587"/>
    <d v="2023-06-08T00:00:00"/>
    <x v="586"/>
    <x v="1"/>
    <n v="40"/>
    <x v="0"/>
    <n v="4"/>
    <n v="300"/>
    <n v="1200"/>
    <n v="1200"/>
    <x v="2"/>
    <x v="10"/>
  </r>
  <r>
    <n v="588"/>
    <d v="2023-04-26T00:00:00"/>
    <x v="587"/>
    <x v="0"/>
    <n v="38"/>
    <x v="2"/>
    <n v="2"/>
    <n v="30"/>
    <n v="60"/>
    <n v="60"/>
    <x v="2"/>
    <x v="4"/>
  </r>
  <r>
    <n v="589"/>
    <d v="2023-04-12T00:00:00"/>
    <x v="588"/>
    <x v="1"/>
    <n v="36"/>
    <x v="0"/>
    <n v="2"/>
    <n v="500"/>
    <n v="1000"/>
    <n v="1000"/>
    <x v="2"/>
    <x v="4"/>
  </r>
  <r>
    <n v="590"/>
    <d v="2023-03-17T00:00:00"/>
    <x v="589"/>
    <x v="0"/>
    <n v="36"/>
    <x v="1"/>
    <n v="3"/>
    <n v="300"/>
    <n v="900"/>
    <n v="900"/>
    <x v="2"/>
    <x v="5"/>
  </r>
  <r>
    <n v="591"/>
    <d v="2023-01-13T00:00:00"/>
    <x v="590"/>
    <x v="0"/>
    <n v="53"/>
    <x v="2"/>
    <n v="4"/>
    <n v="25"/>
    <n v="100"/>
    <n v="100"/>
    <x v="1"/>
    <x v="2"/>
  </r>
  <r>
    <n v="592"/>
    <d v="2023-01-24T00:00:00"/>
    <x v="591"/>
    <x v="1"/>
    <n v="46"/>
    <x v="0"/>
    <n v="4"/>
    <n v="500"/>
    <n v="2000"/>
    <n v="2000"/>
    <x v="1"/>
    <x v="2"/>
  </r>
  <r>
    <n v="593"/>
    <d v="2023-05-06T00:00:00"/>
    <x v="592"/>
    <x v="0"/>
    <n v="35"/>
    <x v="2"/>
    <n v="2"/>
    <n v="30"/>
    <n v="60"/>
    <n v="60"/>
    <x v="2"/>
    <x v="3"/>
  </r>
  <r>
    <n v="594"/>
    <d v="2023-09-01T00:00:00"/>
    <x v="593"/>
    <x v="1"/>
    <n v="19"/>
    <x v="2"/>
    <n v="2"/>
    <n v="300"/>
    <n v="600"/>
    <n v="600"/>
    <x v="4"/>
    <x v="9"/>
  </r>
  <r>
    <n v="595"/>
    <d v="2023-11-09T00:00:00"/>
    <x v="594"/>
    <x v="1"/>
    <n v="18"/>
    <x v="1"/>
    <n v="4"/>
    <n v="500"/>
    <n v="2000"/>
    <n v="2000"/>
    <x v="4"/>
    <x v="0"/>
  </r>
  <r>
    <n v="596"/>
    <d v="2023-02-07T00:00:00"/>
    <x v="595"/>
    <x v="1"/>
    <n v="64"/>
    <x v="2"/>
    <n v="1"/>
    <n v="300"/>
    <n v="300"/>
    <n v="300"/>
    <x v="3"/>
    <x v="1"/>
  </r>
  <r>
    <n v="597"/>
    <d v="2023-08-22T00:00:00"/>
    <x v="596"/>
    <x v="0"/>
    <n v="22"/>
    <x v="0"/>
    <n v="4"/>
    <n v="300"/>
    <n v="1200"/>
    <n v="1200"/>
    <x v="4"/>
    <x v="8"/>
  </r>
  <r>
    <n v="598"/>
    <d v="2023-08-01T00:00:00"/>
    <x v="597"/>
    <x v="0"/>
    <n v="37"/>
    <x v="0"/>
    <n v="4"/>
    <n v="30"/>
    <n v="120"/>
    <n v="120"/>
    <x v="2"/>
    <x v="8"/>
  </r>
  <r>
    <n v="599"/>
    <d v="2023-11-19T00:00:00"/>
    <x v="598"/>
    <x v="1"/>
    <n v="28"/>
    <x v="0"/>
    <n v="2"/>
    <n v="50"/>
    <n v="100"/>
    <n v="100"/>
    <x v="0"/>
    <x v="0"/>
  </r>
  <r>
    <n v="600"/>
    <d v="2023-10-22T00:00:00"/>
    <x v="599"/>
    <x v="1"/>
    <n v="59"/>
    <x v="0"/>
    <n v="2"/>
    <n v="500"/>
    <n v="1000"/>
    <n v="1000"/>
    <x v="3"/>
    <x v="7"/>
  </r>
  <r>
    <n v="601"/>
    <d v="2023-04-10T00:00:00"/>
    <x v="600"/>
    <x v="0"/>
    <n v="19"/>
    <x v="1"/>
    <n v="1"/>
    <n v="30"/>
    <n v="30"/>
    <n v="30"/>
    <x v="4"/>
    <x v="4"/>
  </r>
  <r>
    <n v="602"/>
    <d v="2023-12-23T00:00:00"/>
    <x v="601"/>
    <x v="1"/>
    <n v="20"/>
    <x v="2"/>
    <n v="1"/>
    <n v="300"/>
    <n v="300"/>
    <n v="300"/>
    <x v="4"/>
    <x v="6"/>
  </r>
  <r>
    <n v="603"/>
    <d v="2023-07-16T00:00:00"/>
    <x v="602"/>
    <x v="1"/>
    <n v="40"/>
    <x v="1"/>
    <n v="3"/>
    <n v="30"/>
    <n v="90"/>
    <n v="90"/>
    <x v="2"/>
    <x v="11"/>
  </r>
  <r>
    <n v="604"/>
    <d v="2023-09-11T00:00:00"/>
    <x v="603"/>
    <x v="1"/>
    <n v="29"/>
    <x v="2"/>
    <n v="4"/>
    <n v="50"/>
    <n v="200"/>
    <n v="200"/>
    <x v="0"/>
    <x v="9"/>
  </r>
  <r>
    <n v="605"/>
    <d v="2023-07-24T00:00:00"/>
    <x v="604"/>
    <x v="0"/>
    <n v="37"/>
    <x v="2"/>
    <n v="2"/>
    <n v="500"/>
    <n v="1000"/>
    <n v="1000"/>
    <x v="2"/>
    <x v="11"/>
  </r>
  <r>
    <n v="606"/>
    <d v="2023-05-05T00:00:00"/>
    <x v="605"/>
    <x v="0"/>
    <n v="22"/>
    <x v="2"/>
    <n v="1"/>
    <n v="50"/>
    <n v="50"/>
    <n v="50"/>
    <x v="4"/>
    <x v="3"/>
  </r>
  <r>
    <n v="607"/>
    <d v="2023-03-17T00:00:00"/>
    <x v="606"/>
    <x v="0"/>
    <n v="54"/>
    <x v="1"/>
    <n v="3"/>
    <n v="25"/>
    <n v="75"/>
    <n v="75"/>
    <x v="1"/>
    <x v="5"/>
  </r>
  <r>
    <n v="608"/>
    <d v="2023-12-02T00:00:00"/>
    <x v="607"/>
    <x v="1"/>
    <n v="55"/>
    <x v="2"/>
    <n v="3"/>
    <n v="500"/>
    <n v="1500"/>
    <n v="1500"/>
    <x v="3"/>
    <x v="6"/>
  </r>
  <r>
    <n v="609"/>
    <d v="2023-12-19T00:00:00"/>
    <x v="608"/>
    <x v="1"/>
    <n v="47"/>
    <x v="1"/>
    <n v="2"/>
    <n v="50"/>
    <n v="100"/>
    <n v="100"/>
    <x v="1"/>
    <x v="6"/>
  </r>
  <r>
    <n v="610"/>
    <d v="2023-01-03T00:00:00"/>
    <x v="609"/>
    <x v="1"/>
    <n v="26"/>
    <x v="0"/>
    <n v="2"/>
    <n v="300"/>
    <n v="600"/>
    <n v="600"/>
    <x v="0"/>
    <x v="2"/>
  </r>
  <r>
    <n v="611"/>
    <d v="2023-02-24T00:00:00"/>
    <x v="610"/>
    <x v="0"/>
    <n v="51"/>
    <x v="0"/>
    <n v="3"/>
    <n v="500"/>
    <n v="1500"/>
    <n v="1500"/>
    <x v="1"/>
    <x v="1"/>
  </r>
  <r>
    <n v="612"/>
    <d v="2023-08-06T00:00:00"/>
    <x v="611"/>
    <x v="1"/>
    <n v="61"/>
    <x v="2"/>
    <n v="1"/>
    <n v="500"/>
    <n v="500"/>
    <n v="500"/>
    <x v="3"/>
    <x v="8"/>
  </r>
  <r>
    <n v="613"/>
    <d v="2023-04-23T00:00:00"/>
    <x v="612"/>
    <x v="1"/>
    <n v="52"/>
    <x v="1"/>
    <n v="3"/>
    <n v="30"/>
    <n v="90"/>
    <n v="90"/>
    <x v="1"/>
    <x v="4"/>
  </r>
  <r>
    <n v="614"/>
    <d v="2023-04-01T00:00:00"/>
    <x v="613"/>
    <x v="1"/>
    <n v="39"/>
    <x v="0"/>
    <n v="4"/>
    <n v="300"/>
    <n v="1200"/>
    <n v="1200"/>
    <x v="2"/>
    <x v="4"/>
  </r>
  <r>
    <n v="615"/>
    <d v="2023-12-23T00:00:00"/>
    <x v="614"/>
    <x v="1"/>
    <n v="61"/>
    <x v="1"/>
    <n v="4"/>
    <n v="25"/>
    <n v="100"/>
    <n v="100"/>
    <x v="3"/>
    <x v="6"/>
  </r>
  <r>
    <n v="616"/>
    <d v="2023-09-23T00:00:00"/>
    <x v="615"/>
    <x v="0"/>
    <n v="41"/>
    <x v="1"/>
    <n v="2"/>
    <n v="50"/>
    <n v="100"/>
    <n v="100"/>
    <x v="2"/>
    <x v="9"/>
  </r>
  <r>
    <n v="617"/>
    <d v="2023-08-26T00:00:00"/>
    <x v="616"/>
    <x v="0"/>
    <n v="34"/>
    <x v="2"/>
    <n v="1"/>
    <n v="30"/>
    <n v="30"/>
    <n v="30"/>
    <x v="0"/>
    <x v="8"/>
  </r>
  <r>
    <n v="618"/>
    <d v="2023-01-26T00:00:00"/>
    <x v="617"/>
    <x v="1"/>
    <n v="27"/>
    <x v="0"/>
    <n v="1"/>
    <n v="50"/>
    <n v="50"/>
    <n v="50"/>
    <x v="0"/>
    <x v="2"/>
  </r>
  <r>
    <n v="619"/>
    <d v="2023-10-13T00:00:00"/>
    <x v="618"/>
    <x v="0"/>
    <n v="47"/>
    <x v="2"/>
    <n v="4"/>
    <n v="25"/>
    <n v="100"/>
    <n v="100"/>
    <x v="1"/>
    <x v="7"/>
  </r>
  <r>
    <n v="620"/>
    <d v="2023-05-08T00:00:00"/>
    <x v="619"/>
    <x v="0"/>
    <n v="63"/>
    <x v="2"/>
    <n v="3"/>
    <n v="25"/>
    <n v="75"/>
    <n v="75"/>
    <x v="3"/>
    <x v="3"/>
  </r>
  <r>
    <n v="621"/>
    <d v="2023-03-04T00:00:00"/>
    <x v="620"/>
    <x v="1"/>
    <n v="40"/>
    <x v="0"/>
    <n v="2"/>
    <n v="500"/>
    <n v="1000"/>
    <n v="1000"/>
    <x v="2"/>
    <x v="5"/>
  </r>
  <r>
    <n v="622"/>
    <d v="2023-08-22T00:00:00"/>
    <x v="621"/>
    <x v="1"/>
    <n v="49"/>
    <x v="0"/>
    <n v="3"/>
    <n v="25"/>
    <n v="75"/>
    <n v="75"/>
    <x v="1"/>
    <x v="8"/>
  </r>
  <r>
    <n v="623"/>
    <d v="2023-03-10T00:00:00"/>
    <x v="622"/>
    <x v="0"/>
    <n v="34"/>
    <x v="1"/>
    <n v="3"/>
    <n v="50"/>
    <n v="150"/>
    <n v="150"/>
    <x v="0"/>
    <x v="5"/>
  </r>
  <r>
    <n v="624"/>
    <d v="2023-08-26T00:00:00"/>
    <x v="623"/>
    <x v="1"/>
    <n v="34"/>
    <x v="0"/>
    <n v="3"/>
    <n v="300"/>
    <n v="900"/>
    <n v="900"/>
    <x v="0"/>
    <x v="8"/>
  </r>
  <r>
    <n v="625"/>
    <d v="2023-12-08T00:00:00"/>
    <x v="624"/>
    <x v="0"/>
    <n v="31"/>
    <x v="1"/>
    <n v="1"/>
    <n v="300"/>
    <n v="300"/>
    <n v="300"/>
    <x v="0"/>
    <x v="6"/>
  </r>
  <r>
    <n v="626"/>
    <d v="2023-09-29T00:00:00"/>
    <x v="625"/>
    <x v="1"/>
    <n v="26"/>
    <x v="1"/>
    <n v="4"/>
    <n v="500"/>
    <n v="2000"/>
    <n v="2000"/>
    <x v="0"/>
    <x v="9"/>
  </r>
  <r>
    <n v="627"/>
    <d v="2023-10-14T00:00:00"/>
    <x v="626"/>
    <x v="0"/>
    <n v="57"/>
    <x v="1"/>
    <n v="1"/>
    <n v="50"/>
    <n v="50"/>
    <n v="50"/>
    <x v="3"/>
    <x v="7"/>
  </r>
  <r>
    <n v="628"/>
    <d v="2023-11-01T00:00:00"/>
    <x v="627"/>
    <x v="1"/>
    <n v="19"/>
    <x v="0"/>
    <n v="4"/>
    <n v="50"/>
    <n v="200"/>
    <n v="200"/>
    <x v="4"/>
    <x v="0"/>
  </r>
  <r>
    <n v="629"/>
    <d v="2023-06-12T00:00:00"/>
    <x v="628"/>
    <x v="0"/>
    <n v="62"/>
    <x v="2"/>
    <n v="2"/>
    <n v="25"/>
    <n v="50"/>
    <n v="50"/>
    <x v="3"/>
    <x v="10"/>
  </r>
  <r>
    <n v="630"/>
    <d v="2023-08-15T00:00:00"/>
    <x v="629"/>
    <x v="0"/>
    <n v="42"/>
    <x v="1"/>
    <n v="2"/>
    <n v="50"/>
    <n v="100"/>
    <n v="100"/>
    <x v="2"/>
    <x v="8"/>
  </r>
  <r>
    <n v="631"/>
    <d v="2023-11-10T00:00:00"/>
    <x v="630"/>
    <x v="0"/>
    <n v="56"/>
    <x v="2"/>
    <n v="3"/>
    <n v="30"/>
    <n v="90"/>
    <n v="90"/>
    <x v="3"/>
    <x v="0"/>
  </r>
  <r>
    <n v="632"/>
    <d v="2023-09-16T00:00:00"/>
    <x v="631"/>
    <x v="1"/>
    <n v="26"/>
    <x v="2"/>
    <n v="4"/>
    <n v="25"/>
    <n v="100"/>
    <n v="100"/>
    <x v="0"/>
    <x v="9"/>
  </r>
  <r>
    <n v="633"/>
    <d v="2023-08-07T00:00:00"/>
    <x v="632"/>
    <x v="0"/>
    <n v="39"/>
    <x v="0"/>
    <n v="4"/>
    <n v="30"/>
    <n v="120"/>
    <n v="120"/>
    <x v="2"/>
    <x v="8"/>
  </r>
  <r>
    <n v="634"/>
    <d v="2023-10-08T00:00:00"/>
    <x v="633"/>
    <x v="0"/>
    <n v="60"/>
    <x v="2"/>
    <n v="4"/>
    <n v="500"/>
    <n v="2000"/>
    <n v="2000"/>
    <x v="3"/>
    <x v="7"/>
  </r>
  <r>
    <n v="635"/>
    <d v="2023-08-17T00:00:00"/>
    <x v="634"/>
    <x v="1"/>
    <n v="63"/>
    <x v="2"/>
    <n v="3"/>
    <n v="300"/>
    <n v="900"/>
    <n v="900"/>
    <x v="3"/>
    <x v="8"/>
  </r>
  <r>
    <n v="636"/>
    <d v="2023-03-23T00:00:00"/>
    <x v="635"/>
    <x v="1"/>
    <n v="21"/>
    <x v="0"/>
    <n v="3"/>
    <n v="500"/>
    <n v="1500"/>
    <n v="1500"/>
    <x v="4"/>
    <x v="5"/>
  </r>
  <r>
    <n v="637"/>
    <d v="2023-09-01T00:00:00"/>
    <x v="636"/>
    <x v="0"/>
    <n v="43"/>
    <x v="1"/>
    <n v="2"/>
    <n v="300"/>
    <n v="600"/>
    <n v="600"/>
    <x v="2"/>
    <x v="9"/>
  </r>
  <r>
    <n v="638"/>
    <d v="2023-08-19T00:00:00"/>
    <x v="637"/>
    <x v="0"/>
    <n v="46"/>
    <x v="2"/>
    <n v="1"/>
    <n v="500"/>
    <n v="500"/>
    <n v="500"/>
    <x v="1"/>
    <x v="8"/>
  </r>
  <r>
    <n v="639"/>
    <d v="2023-05-13T00:00:00"/>
    <x v="638"/>
    <x v="1"/>
    <n v="62"/>
    <x v="0"/>
    <n v="4"/>
    <n v="50"/>
    <n v="200"/>
    <n v="200"/>
    <x v="3"/>
    <x v="3"/>
  </r>
  <r>
    <n v="640"/>
    <d v="2023-05-07T00:00:00"/>
    <x v="639"/>
    <x v="1"/>
    <n v="51"/>
    <x v="2"/>
    <n v="4"/>
    <n v="30"/>
    <n v="120"/>
    <n v="120"/>
    <x v="1"/>
    <x v="3"/>
  </r>
  <r>
    <n v="641"/>
    <d v="2023-11-23T00:00:00"/>
    <x v="640"/>
    <x v="1"/>
    <n v="40"/>
    <x v="2"/>
    <n v="1"/>
    <n v="300"/>
    <n v="300"/>
    <n v="300"/>
    <x v="2"/>
    <x v="0"/>
  </r>
  <r>
    <n v="642"/>
    <d v="2023-05-22T00:00:00"/>
    <x v="641"/>
    <x v="1"/>
    <n v="54"/>
    <x v="1"/>
    <n v="4"/>
    <n v="25"/>
    <n v="100"/>
    <n v="100"/>
    <x v="1"/>
    <x v="3"/>
  </r>
  <r>
    <n v="643"/>
    <d v="2023-09-24T00:00:00"/>
    <x v="642"/>
    <x v="1"/>
    <n v="28"/>
    <x v="2"/>
    <n v="3"/>
    <n v="30"/>
    <n v="90"/>
    <n v="90"/>
    <x v="0"/>
    <x v="9"/>
  </r>
  <r>
    <n v="644"/>
    <d v="2023-09-06T00:00:00"/>
    <x v="643"/>
    <x v="0"/>
    <n v="23"/>
    <x v="0"/>
    <n v="3"/>
    <n v="25"/>
    <n v="75"/>
    <n v="75"/>
    <x v="4"/>
    <x v="9"/>
  </r>
  <r>
    <n v="645"/>
    <d v="2023-11-17T00:00:00"/>
    <x v="644"/>
    <x v="1"/>
    <n v="35"/>
    <x v="2"/>
    <n v="4"/>
    <n v="30"/>
    <n v="120"/>
    <n v="120"/>
    <x v="2"/>
    <x v="0"/>
  </r>
  <r>
    <n v="646"/>
    <d v="2023-05-03T00:00:00"/>
    <x v="645"/>
    <x v="0"/>
    <n v="38"/>
    <x v="1"/>
    <n v="3"/>
    <n v="30"/>
    <n v="90"/>
    <n v="90"/>
    <x v="2"/>
    <x v="3"/>
  </r>
  <r>
    <n v="647"/>
    <d v="2023-05-21T00:00:00"/>
    <x v="646"/>
    <x v="0"/>
    <n v="59"/>
    <x v="1"/>
    <n v="3"/>
    <n v="500"/>
    <n v="1500"/>
    <n v="1500"/>
    <x v="3"/>
    <x v="3"/>
  </r>
  <r>
    <n v="648"/>
    <d v="2023-08-14T00:00:00"/>
    <x v="647"/>
    <x v="0"/>
    <n v="53"/>
    <x v="0"/>
    <n v="4"/>
    <n v="300"/>
    <n v="1200"/>
    <n v="1200"/>
    <x v="1"/>
    <x v="8"/>
  </r>
  <r>
    <n v="649"/>
    <d v="2023-02-09T00:00:00"/>
    <x v="648"/>
    <x v="1"/>
    <n v="58"/>
    <x v="1"/>
    <n v="2"/>
    <n v="300"/>
    <n v="600"/>
    <n v="600"/>
    <x v="3"/>
    <x v="1"/>
  </r>
  <r>
    <n v="650"/>
    <d v="2024-01-01T00:00:00"/>
    <x v="649"/>
    <x v="0"/>
    <n v="55"/>
    <x v="2"/>
    <n v="1"/>
    <n v="30"/>
    <n v="30"/>
    <n v="30"/>
    <x v="3"/>
    <x v="12"/>
  </r>
  <r>
    <n v="651"/>
    <d v="2023-05-27T00:00:00"/>
    <x v="650"/>
    <x v="0"/>
    <n v="51"/>
    <x v="1"/>
    <n v="3"/>
    <n v="50"/>
    <n v="150"/>
    <n v="150"/>
    <x v="1"/>
    <x v="3"/>
  </r>
  <r>
    <n v="652"/>
    <d v="2023-05-01T00:00:00"/>
    <x v="651"/>
    <x v="1"/>
    <n v="34"/>
    <x v="0"/>
    <n v="2"/>
    <n v="50"/>
    <n v="100"/>
    <n v="100"/>
    <x v="0"/>
    <x v="3"/>
  </r>
  <r>
    <n v="653"/>
    <d v="2023-05-20T00:00:00"/>
    <x v="652"/>
    <x v="0"/>
    <n v="54"/>
    <x v="1"/>
    <n v="3"/>
    <n v="25"/>
    <n v="75"/>
    <n v="75"/>
    <x v="1"/>
    <x v="3"/>
  </r>
  <r>
    <n v="654"/>
    <d v="2023-06-21T00:00:00"/>
    <x v="653"/>
    <x v="0"/>
    <n v="42"/>
    <x v="1"/>
    <n v="3"/>
    <n v="25"/>
    <n v="75"/>
    <n v="75"/>
    <x v="2"/>
    <x v="10"/>
  </r>
  <r>
    <n v="655"/>
    <d v="2023-06-13T00:00:00"/>
    <x v="654"/>
    <x v="1"/>
    <n v="55"/>
    <x v="1"/>
    <n v="1"/>
    <n v="500"/>
    <n v="500"/>
    <n v="500"/>
    <x v="3"/>
    <x v="10"/>
  </r>
  <r>
    <n v="656"/>
    <d v="2023-10-04T00:00:00"/>
    <x v="655"/>
    <x v="0"/>
    <n v="29"/>
    <x v="0"/>
    <n v="3"/>
    <n v="30"/>
    <n v="90"/>
    <n v="90"/>
    <x v="0"/>
    <x v="7"/>
  </r>
  <r>
    <n v="657"/>
    <d v="2023-02-11T00:00:00"/>
    <x v="656"/>
    <x v="0"/>
    <n v="40"/>
    <x v="1"/>
    <n v="1"/>
    <n v="25"/>
    <n v="25"/>
    <n v="25"/>
    <x v="2"/>
    <x v="1"/>
  </r>
  <r>
    <n v="658"/>
    <d v="2023-03-12T00:00:00"/>
    <x v="657"/>
    <x v="0"/>
    <n v="59"/>
    <x v="1"/>
    <n v="1"/>
    <n v="25"/>
    <n v="25"/>
    <n v="25"/>
    <x v="3"/>
    <x v="5"/>
  </r>
  <r>
    <n v="659"/>
    <d v="2023-03-19T00:00:00"/>
    <x v="658"/>
    <x v="1"/>
    <n v="39"/>
    <x v="2"/>
    <n v="1"/>
    <n v="30"/>
    <n v="30"/>
    <n v="30"/>
    <x v="2"/>
    <x v="5"/>
  </r>
  <r>
    <n v="660"/>
    <d v="2023-04-29T00:00:00"/>
    <x v="659"/>
    <x v="1"/>
    <n v="38"/>
    <x v="0"/>
    <n v="2"/>
    <n v="500"/>
    <n v="1000"/>
    <n v="1000"/>
    <x v="2"/>
    <x v="4"/>
  </r>
  <r>
    <n v="661"/>
    <d v="2023-07-16T00:00:00"/>
    <x v="660"/>
    <x v="1"/>
    <n v="44"/>
    <x v="1"/>
    <n v="4"/>
    <n v="25"/>
    <n v="100"/>
    <n v="100"/>
    <x v="2"/>
    <x v="11"/>
  </r>
  <r>
    <n v="662"/>
    <d v="2023-12-22T00:00:00"/>
    <x v="661"/>
    <x v="0"/>
    <n v="48"/>
    <x v="0"/>
    <n v="2"/>
    <n v="500"/>
    <n v="1000"/>
    <n v="1000"/>
    <x v="1"/>
    <x v="6"/>
  </r>
  <r>
    <n v="663"/>
    <d v="2023-03-20T00:00:00"/>
    <x v="662"/>
    <x v="0"/>
    <n v="23"/>
    <x v="1"/>
    <n v="4"/>
    <n v="300"/>
    <n v="1200"/>
    <n v="1200"/>
    <x v="4"/>
    <x v="5"/>
  </r>
  <r>
    <n v="664"/>
    <d v="2023-12-28T00:00:00"/>
    <x v="663"/>
    <x v="1"/>
    <n v="44"/>
    <x v="1"/>
    <n v="4"/>
    <n v="500"/>
    <n v="2000"/>
    <n v="2000"/>
    <x v="2"/>
    <x v="6"/>
  </r>
  <r>
    <n v="665"/>
    <d v="2023-04-20T00:00:00"/>
    <x v="664"/>
    <x v="0"/>
    <n v="57"/>
    <x v="1"/>
    <n v="1"/>
    <n v="50"/>
    <n v="50"/>
    <n v="50"/>
    <x v="3"/>
    <x v="4"/>
  </r>
  <r>
    <n v="666"/>
    <d v="2023-02-02T00:00:00"/>
    <x v="665"/>
    <x v="0"/>
    <n v="51"/>
    <x v="2"/>
    <n v="3"/>
    <n v="50"/>
    <n v="150"/>
    <n v="150"/>
    <x v="1"/>
    <x v="1"/>
  </r>
  <r>
    <n v="667"/>
    <d v="2023-08-01T00:00:00"/>
    <x v="666"/>
    <x v="1"/>
    <n v="29"/>
    <x v="2"/>
    <n v="1"/>
    <n v="500"/>
    <n v="500"/>
    <n v="500"/>
    <x v="0"/>
    <x v="8"/>
  </r>
  <r>
    <n v="668"/>
    <d v="2023-07-28T00:00:00"/>
    <x v="667"/>
    <x v="1"/>
    <n v="62"/>
    <x v="2"/>
    <n v="3"/>
    <n v="50"/>
    <n v="150"/>
    <n v="150"/>
    <x v="3"/>
    <x v="11"/>
  </r>
  <r>
    <n v="669"/>
    <d v="2023-06-19T00:00:00"/>
    <x v="668"/>
    <x v="0"/>
    <n v="24"/>
    <x v="0"/>
    <n v="4"/>
    <n v="300"/>
    <n v="1200"/>
    <n v="1200"/>
    <x v="4"/>
    <x v="10"/>
  </r>
  <r>
    <n v="670"/>
    <d v="2023-10-05T00:00:00"/>
    <x v="669"/>
    <x v="0"/>
    <n v="27"/>
    <x v="0"/>
    <n v="1"/>
    <n v="30"/>
    <n v="30"/>
    <n v="30"/>
    <x v="0"/>
    <x v="7"/>
  </r>
  <r>
    <n v="671"/>
    <d v="2023-08-27T00:00:00"/>
    <x v="670"/>
    <x v="0"/>
    <n v="62"/>
    <x v="2"/>
    <n v="3"/>
    <n v="50"/>
    <n v="150"/>
    <n v="150"/>
    <x v="3"/>
    <x v="8"/>
  </r>
  <r>
    <n v="672"/>
    <d v="2023-08-01T00:00:00"/>
    <x v="671"/>
    <x v="1"/>
    <n v="34"/>
    <x v="0"/>
    <n v="2"/>
    <n v="50"/>
    <n v="100"/>
    <n v="100"/>
    <x v="0"/>
    <x v="8"/>
  </r>
  <r>
    <n v="673"/>
    <d v="2023-02-01T00:00:00"/>
    <x v="672"/>
    <x v="1"/>
    <n v="43"/>
    <x v="1"/>
    <n v="3"/>
    <n v="500"/>
    <n v="1500"/>
    <n v="1500"/>
    <x v="2"/>
    <x v="1"/>
  </r>
  <r>
    <n v="674"/>
    <d v="2023-04-16T00:00:00"/>
    <x v="673"/>
    <x v="1"/>
    <n v="38"/>
    <x v="1"/>
    <n v="1"/>
    <n v="300"/>
    <n v="300"/>
    <n v="300"/>
    <x v="2"/>
    <x v="4"/>
  </r>
  <r>
    <n v="675"/>
    <d v="2023-08-04T00:00:00"/>
    <x v="674"/>
    <x v="1"/>
    <n v="45"/>
    <x v="1"/>
    <n v="2"/>
    <n v="30"/>
    <n v="60"/>
    <n v="60"/>
    <x v="1"/>
    <x v="8"/>
  </r>
  <r>
    <n v="676"/>
    <d v="2023-07-19T00:00:00"/>
    <x v="675"/>
    <x v="0"/>
    <n v="63"/>
    <x v="2"/>
    <n v="3"/>
    <n v="500"/>
    <n v="1500"/>
    <n v="1500"/>
    <x v="3"/>
    <x v="11"/>
  </r>
  <r>
    <n v="677"/>
    <d v="2023-10-27T00:00:00"/>
    <x v="676"/>
    <x v="1"/>
    <n v="19"/>
    <x v="0"/>
    <n v="3"/>
    <n v="500"/>
    <n v="1500"/>
    <n v="1500"/>
    <x v="4"/>
    <x v="7"/>
  </r>
  <r>
    <n v="678"/>
    <d v="2023-12-23T00:00:00"/>
    <x v="677"/>
    <x v="1"/>
    <n v="60"/>
    <x v="2"/>
    <n v="3"/>
    <n v="300"/>
    <n v="900"/>
    <n v="900"/>
    <x v="3"/>
    <x v="6"/>
  </r>
  <r>
    <n v="679"/>
    <d v="2023-01-11T00:00:00"/>
    <x v="678"/>
    <x v="1"/>
    <n v="18"/>
    <x v="0"/>
    <n v="3"/>
    <n v="30"/>
    <n v="90"/>
    <n v="90"/>
    <x v="4"/>
    <x v="2"/>
  </r>
  <r>
    <n v="680"/>
    <d v="2023-10-22T00:00:00"/>
    <x v="679"/>
    <x v="1"/>
    <n v="53"/>
    <x v="1"/>
    <n v="3"/>
    <n v="300"/>
    <n v="900"/>
    <n v="900"/>
    <x v="1"/>
    <x v="7"/>
  </r>
  <r>
    <n v="681"/>
    <d v="2023-07-14T00:00:00"/>
    <x v="680"/>
    <x v="1"/>
    <n v="43"/>
    <x v="2"/>
    <n v="2"/>
    <n v="30"/>
    <n v="60"/>
    <n v="60"/>
    <x v="2"/>
    <x v="11"/>
  </r>
  <r>
    <n v="682"/>
    <d v="2023-09-02T00:00:00"/>
    <x v="681"/>
    <x v="0"/>
    <n v="46"/>
    <x v="0"/>
    <n v="4"/>
    <n v="300"/>
    <n v="1200"/>
    <n v="1200"/>
    <x v="1"/>
    <x v="9"/>
  </r>
  <r>
    <n v="683"/>
    <d v="2023-01-04T00:00:00"/>
    <x v="682"/>
    <x v="0"/>
    <n v="38"/>
    <x v="0"/>
    <n v="2"/>
    <n v="500"/>
    <n v="1000"/>
    <n v="1000"/>
    <x v="2"/>
    <x v="2"/>
  </r>
  <r>
    <n v="684"/>
    <d v="2023-06-30T00:00:00"/>
    <x v="683"/>
    <x v="1"/>
    <n v="28"/>
    <x v="1"/>
    <n v="2"/>
    <n v="500"/>
    <n v="1000"/>
    <n v="1000"/>
    <x v="0"/>
    <x v="10"/>
  </r>
  <r>
    <n v="685"/>
    <d v="2023-06-02T00:00:00"/>
    <x v="684"/>
    <x v="0"/>
    <n v="57"/>
    <x v="2"/>
    <n v="2"/>
    <n v="25"/>
    <n v="50"/>
    <n v="50"/>
    <x v="3"/>
    <x v="10"/>
  </r>
  <r>
    <n v="686"/>
    <d v="2023-07-19T00:00:00"/>
    <x v="685"/>
    <x v="1"/>
    <n v="28"/>
    <x v="2"/>
    <n v="4"/>
    <n v="50"/>
    <n v="200"/>
    <n v="200"/>
    <x v="0"/>
    <x v="11"/>
  </r>
  <r>
    <n v="687"/>
    <d v="2023-08-03T00:00:00"/>
    <x v="686"/>
    <x v="1"/>
    <n v="53"/>
    <x v="2"/>
    <n v="1"/>
    <n v="300"/>
    <n v="300"/>
    <n v="300"/>
    <x v="1"/>
    <x v="8"/>
  </r>
  <r>
    <n v="688"/>
    <d v="2023-10-03T00:00:00"/>
    <x v="687"/>
    <x v="0"/>
    <n v="56"/>
    <x v="1"/>
    <n v="4"/>
    <n v="25"/>
    <n v="100"/>
    <n v="100"/>
    <x v="3"/>
    <x v="7"/>
  </r>
  <r>
    <n v="689"/>
    <d v="2023-10-07T00:00:00"/>
    <x v="688"/>
    <x v="0"/>
    <n v="57"/>
    <x v="2"/>
    <n v="2"/>
    <n v="50"/>
    <n v="100"/>
    <n v="100"/>
    <x v="3"/>
    <x v="7"/>
  </r>
  <r>
    <n v="690"/>
    <d v="2023-11-05T00:00:00"/>
    <x v="689"/>
    <x v="1"/>
    <n v="52"/>
    <x v="1"/>
    <n v="3"/>
    <n v="300"/>
    <n v="900"/>
    <n v="900"/>
    <x v="1"/>
    <x v="0"/>
  </r>
  <r>
    <n v="691"/>
    <d v="2023-04-23T00:00:00"/>
    <x v="690"/>
    <x v="1"/>
    <n v="51"/>
    <x v="1"/>
    <n v="3"/>
    <n v="30"/>
    <n v="90"/>
    <n v="90"/>
    <x v="1"/>
    <x v="4"/>
  </r>
  <r>
    <n v="692"/>
    <d v="2023-09-07T00:00:00"/>
    <x v="691"/>
    <x v="1"/>
    <n v="64"/>
    <x v="1"/>
    <n v="2"/>
    <n v="50"/>
    <n v="100"/>
    <n v="100"/>
    <x v="3"/>
    <x v="9"/>
  </r>
  <r>
    <n v="693"/>
    <d v="2023-04-23T00:00:00"/>
    <x v="692"/>
    <x v="0"/>
    <n v="41"/>
    <x v="0"/>
    <n v="3"/>
    <n v="500"/>
    <n v="1500"/>
    <n v="1500"/>
    <x v="2"/>
    <x v="4"/>
  </r>
  <r>
    <n v="694"/>
    <d v="2023-05-20T00:00:00"/>
    <x v="693"/>
    <x v="1"/>
    <n v="39"/>
    <x v="2"/>
    <n v="2"/>
    <n v="25"/>
    <n v="50"/>
    <n v="50"/>
    <x v="2"/>
    <x v="3"/>
  </r>
  <r>
    <n v="695"/>
    <d v="2023-08-12T00:00:00"/>
    <x v="694"/>
    <x v="1"/>
    <n v="22"/>
    <x v="2"/>
    <n v="3"/>
    <n v="50"/>
    <n v="150"/>
    <n v="150"/>
    <x v="4"/>
    <x v="8"/>
  </r>
  <r>
    <n v="696"/>
    <d v="2023-09-06T00:00:00"/>
    <x v="695"/>
    <x v="1"/>
    <n v="50"/>
    <x v="1"/>
    <n v="4"/>
    <n v="50"/>
    <n v="200"/>
    <n v="200"/>
    <x v="1"/>
    <x v="9"/>
  </r>
  <r>
    <n v="697"/>
    <d v="2023-01-15T00:00:00"/>
    <x v="696"/>
    <x v="0"/>
    <n v="53"/>
    <x v="1"/>
    <n v="1"/>
    <n v="500"/>
    <n v="500"/>
    <n v="500"/>
    <x v="1"/>
    <x v="2"/>
  </r>
  <r>
    <n v="698"/>
    <d v="2023-07-19T00:00:00"/>
    <x v="697"/>
    <x v="1"/>
    <n v="64"/>
    <x v="2"/>
    <n v="1"/>
    <n v="300"/>
    <n v="300"/>
    <n v="300"/>
    <x v="3"/>
    <x v="11"/>
  </r>
  <r>
    <n v="699"/>
    <d v="2023-06-22T00:00:00"/>
    <x v="698"/>
    <x v="1"/>
    <n v="37"/>
    <x v="1"/>
    <n v="4"/>
    <n v="30"/>
    <n v="120"/>
    <n v="120"/>
    <x v="2"/>
    <x v="10"/>
  </r>
  <r>
    <n v="700"/>
    <d v="2023-12-09T00:00:00"/>
    <x v="699"/>
    <x v="0"/>
    <n v="36"/>
    <x v="2"/>
    <n v="4"/>
    <n v="500"/>
    <n v="2000"/>
    <n v="2000"/>
    <x v="2"/>
    <x v="6"/>
  </r>
  <r>
    <n v="701"/>
    <d v="2023-12-14T00:00:00"/>
    <x v="700"/>
    <x v="1"/>
    <n v="52"/>
    <x v="0"/>
    <n v="2"/>
    <n v="30"/>
    <n v="60"/>
    <n v="60"/>
    <x v="1"/>
    <x v="6"/>
  </r>
  <r>
    <n v="702"/>
    <d v="2023-07-27T00:00:00"/>
    <x v="701"/>
    <x v="1"/>
    <n v="60"/>
    <x v="1"/>
    <n v="2"/>
    <n v="300"/>
    <n v="600"/>
    <n v="600"/>
    <x v="3"/>
    <x v="11"/>
  </r>
  <r>
    <n v="703"/>
    <d v="2023-03-26T00:00:00"/>
    <x v="702"/>
    <x v="0"/>
    <n v="34"/>
    <x v="2"/>
    <n v="2"/>
    <n v="50"/>
    <n v="100"/>
    <n v="100"/>
    <x v="0"/>
    <x v="5"/>
  </r>
  <r>
    <n v="704"/>
    <d v="2023-08-28T00:00:00"/>
    <x v="703"/>
    <x v="1"/>
    <n v="62"/>
    <x v="1"/>
    <n v="3"/>
    <n v="30"/>
    <n v="90"/>
    <n v="90"/>
    <x v="3"/>
    <x v="8"/>
  </r>
  <r>
    <n v="705"/>
    <d v="2023-03-07T00:00:00"/>
    <x v="704"/>
    <x v="0"/>
    <n v="60"/>
    <x v="2"/>
    <n v="2"/>
    <n v="25"/>
    <n v="50"/>
    <n v="50"/>
    <x v="3"/>
    <x v="5"/>
  </r>
  <r>
    <n v="706"/>
    <d v="2023-11-15T00:00:00"/>
    <x v="705"/>
    <x v="0"/>
    <n v="51"/>
    <x v="2"/>
    <n v="4"/>
    <n v="25"/>
    <n v="100"/>
    <n v="100"/>
    <x v="1"/>
    <x v="0"/>
  </r>
  <r>
    <n v="707"/>
    <d v="2023-10-01T00:00:00"/>
    <x v="706"/>
    <x v="1"/>
    <n v="26"/>
    <x v="1"/>
    <n v="1"/>
    <n v="500"/>
    <n v="500"/>
    <n v="500"/>
    <x v="0"/>
    <x v="7"/>
  </r>
  <r>
    <n v="708"/>
    <d v="2023-01-14T00:00:00"/>
    <x v="707"/>
    <x v="1"/>
    <n v="43"/>
    <x v="0"/>
    <n v="3"/>
    <n v="300"/>
    <n v="900"/>
    <n v="900"/>
    <x v="2"/>
    <x v="2"/>
  </r>
  <r>
    <n v="709"/>
    <d v="2023-07-21T00:00:00"/>
    <x v="708"/>
    <x v="1"/>
    <n v="19"/>
    <x v="2"/>
    <n v="2"/>
    <n v="500"/>
    <n v="1000"/>
    <n v="1000"/>
    <x v="4"/>
    <x v="11"/>
  </r>
  <r>
    <n v="710"/>
    <d v="2023-10-31T00:00:00"/>
    <x v="709"/>
    <x v="1"/>
    <n v="26"/>
    <x v="2"/>
    <n v="3"/>
    <n v="500"/>
    <n v="1500"/>
    <n v="1500"/>
    <x v="0"/>
    <x v="7"/>
  </r>
  <r>
    <n v="711"/>
    <d v="2023-10-16T00:00:00"/>
    <x v="710"/>
    <x v="0"/>
    <n v="26"/>
    <x v="2"/>
    <n v="3"/>
    <n v="500"/>
    <n v="1500"/>
    <n v="1500"/>
    <x v="0"/>
    <x v="7"/>
  </r>
  <r>
    <n v="712"/>
    <d v="2023-12-06T00:00:00"/>
    <x v="711"/>
    <x v="1"/>
    <n v="57"/>
    <x v="0"/>
    <n v="2"/>
    <n v="25"/>
    <n v="50"/>
    <n v="50"/>
    <x v="3"/>
    <x v="6"/>
  </r>
  <r>
    <n v="713"/>
    <d v="2023-01-14T00:00:00"/>
    <x v="712"/>
    <x v="0"/>
    <n v="34"/>
    <x v="0"/>
    <n v="3"/>
    <n v="25"/>
    <n v="75"/>
    <n v="75"/>
    <x v="0"/>
    <x v="2"/>
  </r>
  <r>
    <n v="714"/>
    <d v="2023-02-12T00:00:00"/>
    <x v="713"/>
    <x v="1"/>
    <n v="18"/>
    <x v="1"/>
    <n v="1"/>
    <n v="500"/>
    <n v="500"/>
    <n v="500"/>
    <x v="4"/>
    <x v="1"/>
  </r>
  <r>
    <n v="715"/>
    <d v="2023-11-26T00:00:00"/>
    <x v="714"/>
    <x v="1"/>
    <n v="42"/>
    <x v="0"/>
    <n v="4"/>
    <n v="25"/>
    <n v="100"/>
    <n v="100"/>
    <x v="2"/>
    <x v="0"/>
  </r>
  <r>
    <n v="716"/>
    <d v="2023-08-08T00:00:00"/>
    <x v="715"/>
    <x v="1"/>
    <n v="60"/>
    <x v="1"/>
    <n v="4"/>
    <n v="300"/>
    <n v="1200"/>
    <n v="1200"/>
    <x v="3"/>
    <x v="8"/>
  </r>
  <r>
    <n v="717"/>
    <d v="2023-03-11T00:00:00"/>
    <x v="716"/>
    <x v="0"/>
    <n v="57"/>
    <x v="1"/>
    <n v="1"/>
    <n v="500"/>
    <n v="500"/>
    <n v="500"/>
    <x v="3"/>
    <x v="5"/>
  </r>
  <r>
    <n v="718"/>
    <d v="2023-08-25T00:00:00"/>
    <x v="717"/>
    <x v="1"/>
    <n v="59"/>
    <x v="0"/>
    <n v="3"/>
    <n v="25"/>
    <n v="75"/>
    <n v="75"/>
    <x v="3"/>
    <x v="8"/>
  </r>
  <r>
    <n v="719"/>
    <d v="2023-04-04T00:00:00"/>
    <x v="718"/>
    <x v="1"/>
    <n v="42"/>
    <x v="1"/>
    <n v="2"/>
    <n v="30"/>
    <n v="60"/>
    <n v="60"/>
    <x v="2"/>
    <x v="4"/>
  </r>
  <r>
    <n v="720"/>
    <d v="2023-01-26T00:00:00"/>
    <x v="719"/>
    <x v="1"/>
    <n v="56"/>
    <x v="0"/>
    <n v="3"/>
    <n v="500"/>
    <n v="1500"/>
    <n v="1500"/>
    <x v="3"/>
    <x v="2"/>
  </r>
  <r>
    <n v="721"/>
    <d v="2023-05-14T00:00:00"/>
    <x v="720"/>
    <x v="1"/>
    <n v="52"/>
    <x v="1"/>
    <n v="1"/>
    <n v="500"/>
    <n v="500"/>
    <n v="500"/>
    <x v="1"/>
    <x v="3"/>
  </r>
  <r>
    <n v="722"/>
    <d v="2023-07-14T00:00:00"/>
    <x v="721"/>
    <x v="0"/>
    <n v="20"/>
    <x v="0"/>
    <n v="3"/>
    <n v="300"/>
    <n v="900"/>
    <n v="900"/>
    <x v="4"/>
    <x v="11"/>
  </r>
  <r>
    <n v="723"/>
    <d v="2023-06-17T00:00:00"/>
    <x v="722"/>
    <x v="1"/>
    <n v="54"/>
    <x v="0"/>
    <n v="4"/>
    <n v="50"/>
    <n v="200"/>
    <n v="200"/>
    <x v="1"/>
    <x v="10"/>
  </r>
  <r>
    <n v="724"/>
    <d v="2023-04-19T00:00:00"/>
    <x v="723"/>
    <x v="0"/>
    <n v="61"/>
    <x v="1"/>
    <n v="3"/>
    <n v="50"/>
    <n v="150"/>
    <n v="150"/>
    <x v="3"/>
    <x v="4"/>
  </r>
  <r>
    <n v="725"/>
    <d v="2023-08-21T00:00:00"/>
    <x v="724"/>
    <x v="0"/>
    <n v="61"/>
    <x v="2"/>
    <n v="1"/>
    <n v="300"/>
    <n v="300"/>
    <n v="300"/>
    <x v="3"/>
    <x v="8"/>
  </r>
  <r>
    <n v="726"/>
    <d v="2023-06-17T00:00:00"/>
    <x v="725"/>
    <x v="0"/>
    <n v="47"/>
    <x v="1"/>
    <n v="4"/>
    <n v="300"/>
    <n v="1200"/>
    <n v="1200"/>
    <x v="1"/>
    <x v="10"/>
  </r>
  <r>
    <n v="727"/>
    <d v="2023-06-22T00:00:00"/>
    <x v="726"/>
    <x v="0"/>
    <n v="55"/>
    <x v="0"/>
    <n v="3"/>
    <n v="300"/>
    <n v="900"/>
    <n v="900"/>
    <x v="3"/>
    <x v="10"/>
  </r>
  <r>
    <n v="728"/>
    <d v="2023-07-14T00:00:00"/>
    <x v="727"/>
    <x v="0"/>
    <n v="51"/>
    <x v="2"/>
    <n v="3"/>
    <n v="50"/>
    <n v="150"/>
    <n v="150"/>
    <x v="1"/>
    <x v="11"/>
  </r>
  <r>
    <n v="729"/>
    <d v="2023-05-23T00:00:00"/>
    <x v="728"/>
    <x v="0"/>
    <n v="29"/>
    <x v="1"/>
    <n v="4"/>
    <n v="300"/>
    <n v="1200"/>
    <n v="1200"/>
    <x v="0"/>
    <x v="3"/>
  </r>
  <r>
    <n v="730"/>
    <d v="2023-08-04T00:00:00"/>
    <x v="729"/>
    <x v="1"/>
    <n v="36"/>
    <x v="1"/>
    <n v="2"/>
    <n v="25"/>
    <n v="50"/>
    <n v="50"/>
    <x v="2"/>
    <x v="8"/>
  </r>
  <r>
    <n v="731"/>
    <d v="2023-05-10T00:00:00"/>
    <x v="730"/>
    <x v="0"/>
    <n v="54"/>
    <x v="1"/>
    <n v="4"/>
    <n v="500"/>
    <n v="2000"/>
    <n v="2000"/>
    <x v="1"/>
    <x v="3"/>
  </r>
  <r>
    <n v="732"/>
    <d v="2023-02-11T00:00:00"/>
    <x v="731"/>
    <x v="0"/>
    <n v="61"/>
    <x v="2"/>
    <n v="2"/>
    <n v="500"/>
    <n v="1000"/>
    <n v="1000"/>
    <x v="3"/>
    <x v="1"/>
  </r>
  <r>
    <n v="733"/>
    <d v="2023-08-29T00:00:00"/>
    <x v="732"/>
    <x v="0"/>
    <n v="34"/>
    <x v="0"/>
    <n v="1"/>
    <n v="30"/>
    <n v="30"/>
    <n v="30"/>
    <x v="0"/>
    <x v="8"/>
  </r>
  <r>
    <n v="734"/>
    <d v="2023-01-10T00:00:00"/>
    <x v="733"/>
    <x v="1"/>
    <n v="27"/>
    <x v="1"/>
    <n v="1"/>
    <n v="30"/>
    <n v="30"/>
    <n v="30"/>
    <x v="0"/>
    <x v="2"/>
  </r>
  <r>
    <n v="735"/>
    <d v="2023-10-04T00:00:00"/>
    <x v="734"/>
    <x v="1"/>
    <n v="64"/>
    <x v="1"/>
    <n v="4"/>
    <n v="500"/>
    <n v="2000"/>
    <n v="2000"/>
    <x v="3"/>
    <x v="7"/>
  </r>
  <r>
    <n v="736"/>
    <d v="2023-01-27T00:00:00"/>
    <x v="735"/>
    <x v="0"/>
    <n v="29"/>
    <x v="1"/>
    <n v="4"/>
    <n v="25"/>
    <n v="100"/>
    <n v="100"/>
    <x v="0"/>
    <x v="2"/>
  </r>
  <r>
    <n v="737"/>
    <d v="2023-06-29T00:00:00"/>
    <x v="736"/>
    <x v="1"/>
    <n v="33"/>
    <x v="1"/>
    <n v="1"/>
    <n v="50"/>
    <n v="50"/>
    <n v="50"/>
    <x v="0"/>
    <x v="10"/>
  </r>
  <r>
    <n v="738"/>
    <d v="2023-04-25T00:00:00"/>
    <x v="737"/>
    <x v="0"/>
    <n v="41"/>
    <x v="1"/>
    <n v="2"/>
    <n v="50"/>
    <n v="100"/>
    <n v="100"/>
    <x v="2"/>
    <x v="4"/>
  </r>
  <r>
    <n v="739"/>
    <d v="2023-11-29T00:00:00"/>
    <x v="738"/>
    <x v="0"/>
    <n v="36"/>
    <x v="0"/>
    <n v="1"/>
    <n v="25"/>
    <n v="25"/>
    <n v="25"/>
    <x v="2"/>
    <x v="0"/>
  </r>
  <r>
    <n v="740"/>
    <d v="2023-02-05T00:00:00"/>
    <x v="739"/>
    <x v="1"/>
    <n v="25"/>
    <x v="0"/>
    <n v="4"/>
    <n v="50"/>
    <n v="200"/>
    <n v="200"/>
    <x v="0"/>
    <x v="1"/>
  </r>
  <r>
    <n v="741"/>
    <d v="2023-11-30T00:00:00"/>
    <x v="740"/>
    <x v="0"/>
    <n v="48"/>
    <x v="1"/>
    <n v="1"/>
    <n v="300"/>
    <n v="300"/>
    <n v="300"/>
    <x v="1"/>
    <x v="0"/>
  </r>
  <r>
    <n v="742"/>
    <d v="2023-01-21T00:00:00"/>
    <x v="741"/>
    <x v="1"/>
    <n v="38"/>
    <x v="2"/>
    <n v="4"/>
    <n v="500"/>
    <n v="2000"/>
    <n v="2000"/>
    <x v="2"/>
    <x v="2"/>
  </r>
  <r>
    <n v="743"/>
    <d v="2023-01-16T00:00:00"/>
    <x v="742"/>
    <x v="1"/>
    <n v="34"/>
    <x v="0"/>
    <n v="4"/>
    <n v="500"/>
    <n v="2000"/>
    <n v="2000"/>
    <x v="0"/>
    <x v="2"/>
  </r>
  <r>
    <n v="744"/>
    <d v="2023-05-07T00:00:00"/>
    <x v="743"/>
    <x v="0"/>
    <n v="40"/>
    <x v="2"/>
    <n v="1"/>
    <n v="25"/>
    <n v="25"/>
    <n v="25"/>
    <x v="2"/>
    <x v="3"/>
  </r>
  <r>
    <n v="745"/>
    <d v="2023-04-13T00:00:00"/>
    <x v="744"/>
    <x v="0"/>
    <n v="54"/>
    <x v="0"/>
    <n v="2"/>
    <n v="50"/>
    <n v="100"/>
    <n v="100"/>
    <x v="1"/>
    <x v="4"/>
  </r>
  <r>
    <n v="746"/>
    <d v="2023-01-11T00:00:00"/>
    <x v="745"/>
    <x v="1"/>
    <n v="33"/>
    <x v="1"/>
    <n v="3"/>
    <n v="30"/>
    <n v="90"/>
    <n v="90"/>
    <x v="0"/>
    <x v="2"/>
  </r>
  <r>
    <n v="747"/>
    <d v="2023-11-15T00:00:00"/>
    <x v="746"/>
    <x v="0"/>
    <n v="23"/>
    <x v="0"/>
    <n v="1"/>
    <n v="30"/>
    <n v="30"/>
    <n v="30"/>
    <x v="4"/>
    <x v="0"/>
  </r>
  <r>
    <n v="748"/>
    <d v="2023-03-20T00:00:00"/>
    <x v="747"/>
    <x v="0"/>
    <n v="25"/>
    <x v="1"/>
    <n v="3"/>
    <n v="50"/>
    <n v="150"/>
    <n v="150"/>
    <x v="0"/>
    <x v="5"/>
  </r>
  <r>
    <n v="749"/>
    <d v="2023-05-03T00:00:00"/>
    <x v="748"/>
    <x v="0"/>
    <n v="42"/>
    <x v="0"/>
    <n v="1"/>
    <n v="30"/>
    <n v="30"/>
    <n v="30"/>
    <x v="2"/>
    <x v="3"/>
  </r>
  <r>
    <n v="750"/>
    <d v="2023-03-06T00:00:00"/>
    <x v="749"/>
    <x v="1"/>
    <n v="35"/>
    <x v="1"/>
    <n v="3"/>
    <n v="25"/>
    <n v="75"/>
    <n v="75"/>
    <x v="2"/>
    <x v="5"/>
  </r>
  <r>
    <n v="751"/>
    <d v="2023-08-31T00:00:00"/>
    <x v="750"/>
    <x v="1"/>
    <n v="42"/>
    <x v="1"/>
    <n v="2"/>
    <n v="25"/>
    <n v="50"/>
    <n v="50"/>
    <x v="2"/>
    <x v="8"/>
  </r>
  <r>
    <n v="752"/>
    <d v="2023-12-09T00:00:00"/>
    <x v="751"/>
    <x v="0"/>
    <n v="29"/>
    <x v="1"/>
    <n v="2"/>
    <n v="50"/>
    <n v="100"/>
    <n v="100"/>
    <x v="0"/>
    <x v="6"/>
  </r>
  <r>
    <n v="753"/>
    <d v="2023-02-28T00:00:00"/>
    <x v="752"/>
    <x v="1"/>
    <n v="32"/>
    <x v="1"/>
    <n v="1"/>
    <n v="30"/>
    <n v="30"/>
    <n v="30"/>
    <x v="0"/>
    <x v="1"/>
  </r>
  <r>
    <n v="754"/>
    <d v="2023-10-16T00:00:00"/>
    <x v="753"/>
    <x v="1"/>
    <n v="43"/>
    <x v="2"/>
    <n v="4"/>
    <n v="25"/>
    <n v="100"/>
    <n v="100"/>
    <x v="2"/>
    <x v="7"/>
  </r>
  <r>
    <n v="755"/>
    <d v="2023-04-22T00:00:00"/>
    <x v="754"/>
    <x v="1"/>
    <n v="58"/>
    <x v="1"/>
    <n v="3"/>
    <n v="25"/>
    <n v="75"/>
    <n v="75"/>
    <x v="3"/>
    <x v="4"/>
  </r>
  <r>
    <n v="756"/>
    <d v="2023-08-27T00:00:00"/>
    <x v="755"/>
    <x v="1"/>
    <n v="62"/>
    <x v="2"/>
    <n v="4"/>
    <n v="300"/>
    <n v="1200"/>
    <n v="1200"/>
    <x v="3"/>
    <x v="8"/>
  </r>
  <r>
    <n v="757"/>
    <d v="2023-12-25T00:00:00"/>
    <x v="756"/>
    <x v="1"/>
    <n v="43"/>
    <x v="2"/>
    <n v="4"/>
    <n v="300"/>
    <n v="1200"/>
    <n v="1200"/>
    <x v="2"/>
    <x v="6"/>
  </r>
  <r>
    <n v="758"/>
    <d v="2023-05-12T00:00:00"/>
    <x v="757"/>
    <x v="0"/>
    <n v="64"/>
    <x v="1"/>
    <n v="4"/>
    <n v="25"/>
    <n v="100"/>
    <n v="100"/>
    <x v="3"/>
    <x v="3"/>
  </r>
  <r>
    <n v="759"/>
    <d v="2023-07-08T00:00:00"/>
    <x v="758"/>
    <x v="0"/>
    <n v="49"/>
    <x v="2"/>
    <n v="2"/>
    <n v="50"/>
    <n v="100"/>
    <n v="100"/>
    <x v="1"/>
    <x v="11"/>
  </r>
  <r>
    <n v="760"/>
    <d v="2023-03-27T00:00:00"/>
    <x v="759"/>
    <x v="0"/>
    <n v="27"/>
    <x v="0"/>
    <n v="1"/>
    <n v="500"/>
    <n v="500"/>
    <n v="500"/>
    <x v="0"/>
    <x v="5"/>
  </r>
  <r>
    <n v="761"/>
    <d v="2023-11-07T00:00:00"/>
    <x v="760"/>
    <x v="1"/>
    <n v="33"/>
    <x v="1"/>
    <n v="1"/>
    <n v="500"/>
    <n v="500"/>
    <n v="500"/>
    <x v="0"/>
    <x v="0"/>
  </r>
  <r>
    <n v="762"/>
    <d v="2023-11-07T00:00:00"/>
    <x v="761"/>
    <x v="1"/>
    <n v="24"/>
    <x v="2"/>
    <n v="2"/>
    <n v="25"/>
    <n v="50"/>
    <n v="50"/>
    <x v="4"/>
    <x v="0"/>
  </r>
  <r>
    <n v="763"/>
    <d v="2023-02-28T00:00:00"/>
    <x v="762"/>
    <x v="0"/>
    <n v="34"/>
    <x v="1"/>
    <n v="2"/>
    <n v="25"/>
    <n v="50"/>
    <n v="50"/>
    <x v="0"/>
    <x v="1"/>
  </r>
  <r>
    <n v="764"/>
    <d v="2023-03-25T00:00:00"/>
    <x v="763"/>
    <x v="1"/>
    <n v="40"/>
    <x v="1"/>
    <n v="1"/>
    <n v="25"/>
    <n v="25"/>
    <n v="25"/>
    <x v="2"/>
    <x v="5"/>
  </r>
  <r>
    <n v="765"/>
    <d v="2023-06-09T00:00:00"/>
    <x v="764"/>
    <x v="0"/>
    <n v="43"/>
    <x v="1"/>
    <n v="4"/>
    <n v="50"/>
    <n v="200"/>
    <n v="200"/>
    <x v="2"/>
    <x v="10"/>
  </r>
  <r>
    <n v="766"/>
    <d v="2023-02-25T00:00:00"/>
    <x v="765"/>
    <x v="0"/>
    <n v="38"/>
    <x v="2"/>
    <n v="3"/>
    <n v="300"/>
    <n v="900"/>
    <n v="900"/>
    <x v="2"/>
    <x v="1"/>
  </r>
  <r>
    <n v="767"/>
    <d v="2023-10-24T00:00:00"/>
    <x v="766"/>
    <x v="0"/>
    <n v="39"/>
    <x v="0"/>
    <n v="3"/>
    <n v="25"/>
    <n v="75"/>
    <n v="75"/>
    <x v="2"/>
    <x v="7"/>
  </r>
  <r>
    <n v="768"/>
    <d v="2023-01-14T00:00:00"/>
    <x v="767"/>
    <x v="1"/>
    <n v="24"/>
    <x v="0"/>
    <n v="3"/>
    <n v="25"/>
    <n v="75"/>
    <n v="75"/>
    <x v="4"/>
    <x v="2"/>
  </r>
  <r>
    <n v="769"/>
    <d v="2023-06-09T00:00:00"/>
    <x v="768"/>
    <x v="1"/>
    <n v="31"/>
    <x v="2"/>
    <n v="4"/>
    <n v="30"/>
    <n v="120"/>
    <n v="120"/>
    <x v="0"/>
    <x v="10"/>
  </r>
  <r>
    <n v="770"/>
    <d v="2023-10-22T00:00:00"/>
    <x v="769"/>
    <x v="0"/>
    <n v="32"/>
    <x v="1"/>
    <n v="1"/>
    <n v="50"/>
    <n v="50"/>
    <n v="50"/>
    <x v="0"/>
    <x v="7"/>
  </r>
  <r>
    <n v="771"/>
    <d v="2023-12-13T00:00:00"/>
    <x v="770"/>
    <x v="0"/>
    <n v="24"/>
    <x v="2"/>
    <n v="2"/>
    <n v="25"/>
    <n v="50"/>
    <n v="50"/>
    <x v="4"/>
    <x v="6"/>
  </r>
  <r>
    <n v="772"/>
    <d v="2023-07-12T00:00:00"/>
    <x v="771"/>
    <x v="0"/>
    <n v="26"/>
    <x v="2"/>
    <n v="1"/>
    <n v="30"/>
    <n v="30"/>
    <n v="30"/>
    <x v="0"/>
    <x v="11"/>
  </r>
  <r>
    <n v="773"/>
    <d v="2023-07-23T00:00:00"/>
    <x v="772"/>
    <x v="0"/>
    <n v="25"/>
    <x v="2"/>
    <n v="4"/>
    <n v="500"/>
    <n v="2000"/>
    <n v="2000"/>
    <x v="0"/>
    <x v="11"/>
  </r>
  <r>
    <n v="774"/>
    <d v="2023-04-12T00:00:00"/>
    <x v="773"/>
    <x v="1"/>
    <n v="40"/>
    <x v="1"/>
    <n v="2"/>
    <n v="25"/>
    <n v="50"/>
    <n v="50"/>
    <x v="2"/>
    <x v="4"/>
  </r>
  <r>
    <n v="775"/>
    <d v="2023-02-08T00:00:00"/>
    <x v="774"/>
    <x v="1"/>
    <n v="46"/>
    <x v="2"/>
    <n v="4"/>
    <n v="25"/>
    <n v="100"/>
    <n v="100"/>
    <x v="1"/>
    <x v="1"/>
  </r>
  <r>
    <n v="776"/>
    <d v="2023-10-31T00:00:00"/>
    <x v="775"/>
    <x v="0"/>
    <n v="35"/>
    <x v="1"/>
    <n v="3"/>
    <n v="30"/>
    <n v="90"/>
    <n v="90"/>
    <x v="2"/>
    <x v="7"/>
  </r>
  <r>
    <n v="777"/>
    <d v="2023-12-20T00:00:00"/>
    <x v="776"/>
    <x v="0"/>
    <n v="48"/>
    <x v="2"/>
    <n v="3"/>
    <n v="50"/>
    <n v="150"/>
    <n v="150"/>
    <x v="1"/>
    <x v="6"/>
  </r>
  <r>
    <n v="778"/>
    <d v="2023-11-18T00:00:00"/>
    <x v="777"/>
    <x v="1"/>
    <n v="47"/>
    <x v="0"/>
    <n v="4"/>
    <n v="25"/>
    <n v="100"/>
    <n v="100"/>
    <x v="1"/>
    <x v="0"/>
  </r>
  <r>
    <n v="779"/>
    <d v="2023-05-05T00:00:00"/>
    <x v="778"/>
    <x v="1"/>
    <n v="56"/>
    <x v="2"/>
    <n v="2"/>
    <n v="500"/>
    <n v="1000"/>
    <n v="1000"/>
    <x v="3"/>
    <x v="3"/>
  </r>
  <r>
    <n v="780"/>
    <d v="2023-02-22T00:00:00"/>
    <x v="779"/>
    <x v="0"/>
    <n v="52"/>
    <x v="2"/>
    <n v="2"/>
    <n v="25"/>
    <n v="50"/>
    <n v="50"/>
    <x v="1"/>
    <x v="1"/>
  </r>
  <r>
    <n v="781"/>
    <d v="2023-12-23T00:00:00"/>
    <x v="780"/>
    <x v="0"/>
    <n v="35"/>
    <x v="0"/>
    <n v="1"/>
    <n v="500"/>
    <n v="500"/>
    <n v="500"/>
    <x v="2"/>
    <x v="6"/>
  </r>
  <r>
    <n v="782"/>
    <d v="2023-06-04T00:00:00"/>
    <x v="781"/>
    <x v="0"/>
    <n v="59"/>
    <x v="1"/>
    <n v="3"/>
    <n v="300"/>
    <n v="900"/>
    <n v="900"/>
    <x v="3"/>
    <x v="10"/>
  </r>
  <r>
    <n v="783"/>
    <d v="2023-12-17T00:00:00"/>
    <x v="782"/>
    <x v="1"/>
    <n v="56"/>
    <x v="1"/>
    <n v="1"/>
    <n v="300"/>
    <n v="300"/>
    <n v="300"/>
    <x v="3"/>
    <x v="6"/>
  </r>
  <r>
    <n v="784"/>
    <d v="2023-11-04T00:00:00"/>
    <x v="783"/>
    <x v="1"/>
    <n v="34"/>
    <x v="2"/>
    <n v="1"/>
    <n v="500"/>
    <n v="500"/>
    <n v="500"/>
    <x v="0"/>
    <x v="0"/>
  </r>
  <r>
    <n v="785"/>
    <d v="2023-03-03T00:00:00"/>
    <x v="784"/>
    <x v="1"/>
    <n v="31"/>
    <x v="0"/>
    <n v="4"/>
    <n v="50"/>
    <n v="200"/>
    <n v="200"/>
    <x v="0"/>
    <x v="5"/>
  </r>
  <r>
    <n v="786"/>
    <d v="2023-10-17T00:00:00"/>
    <x v="785"/>
    <x v="0"/>
    <n v="48"/>
    <x v="1"/>
    <n v="4"/>
    <n v="25"/>
    <n v="100"/>
    <n v="100"/>
    <x v="1"/>
    <x v="7"/>
  </r>
  <r>
    <n v="787"/>
    <d v="2023-01-22T00:00:00"/>
    <x v="786"/>
    <x v="0"/>
    <n v="41"/>
    <x v="2"/>
    <n v="1"/>
    <n v="25"/>
    <n v="25"/>
    <n v="25"/>
    <x v="2"/>
    <x v="2"/>
  </r>
  <r>
    <n v="788"/>
    <d v="2023-06-27T00:00:00"/>
    <x v="787"/>
    <x v="1"/>
    <n v="52"/>
    <x v="0"/>
    <n v="3"/>
    <n v="300"/>
    <n v="900"/>
    <n v="900"/>
    <x v="1"/>
    <x v="10"/>
  </r>
  <r>
    <n v="789"/>
    <d v="2023-09-30T00:00:00"/>
    <x v="788"/>
    <x v="1"/>
    <n v="61"/>
    <x v="1"/>
    <n v="4"/>
    <n v="500"/>
    <n v="2000"/>
    <n v="2000"/>
    <x v="3"/>
    <x v="9"/>
  </r>
  <r>
    <n v="790"/>
    <d v="2023-08-08T00:00:00"/>
    <x v="789"/>
    <x v="0"/>
    <n v="62"/>
    <x v="1"/>
    <n v="1"/>
    <n v="25"/>
    <n v="25"/>
    <n v="25"/>
    <x v="3"/>
    <x v="8"/>
  </r>
  <r>
    <n v="791"/>
    <d v="2023-12-05T00:00:00"/>
    <x v="790"/>
    <x v="1"/>
    <n v="51"/>
    <x v="0"/>
    <n v="1"/>
    <n v="25"/>
    <n v="25"/>
    <n v="25"/>
    <x v="1"/>
    <x v="6"/>
  </r>
  <r>
    <n v="792"/>
    <d v="2023-07-09T00:00:00"/>
    <x v="791"/>
    <x v="1"/>
    <n v="20"/>
    <x v="0"/>
    <n v="1"/>
    <n v="50"/>
    <n v="50"/>
    <n v="50"/>
    <x v="4"/>
    <x v="11"/>
  </r>
  <r>
    <n v="793"/>
    <d v="2023-02-05T00:00:00"/>
    <x v="792"/>
    <x v="0"/>
    <n v="54"/>
    <x v="0"/>
    <n v="1"/>
    <n v="30"/>
    <n v="30"/>
    <n v="30"/>
    <x v="1"/>
    <x v="1"/>
  </r>
  <r>
    <n v="794"/>
    <d v="2023-09-17T00:00:00"/>
    <x v="793"/>
    <x v="1"/>
    <n v="60"/>
    <x v="0"/>
    <n v="1"/>
    <n v="300"/>
    <n v="300"/>
    <n v="300"/>
    <x v="3"/>
    <x v="9"/>
  </r>
  <r>
    <n v="795"/>
    <d v="2023-11-28T00:00:00"/>
    <x v="794"/>
    <x v="0"/>
    <n v="57"/>
    <x v="2"/>
    <n v="1"/>
    <n v="300"/>
    <n v="300"/>
    <n v="300"/>
    <x v="3"/>
    <x v="0"/>
  </r>
  <r>
    <n v="796"/>
    <d v="2023-06-24T00:00:00"/>
    <x v="795"/>
    <x v="0"/>
    <n v="43"/>
    <x v="0"/>
    <n v="4"/>
    <n v="30"/>
    <n v="120"/>
    <n v="120"/>
    <x v="2"/>
    <x v="10"/>
  </r>
  <r>
    <n v="797"/>
    <d v="2023-01-07T00:00:00"/>
    <x v="796"/>
    <x v="0"/>
    <n v="40"/>
    <x v="1"/>
    <n v="3"/>
    <n v="25"/>
    <n v="75"/>
    <n v="75"/>
    <x v="2"/>
    <x v="2"/>
  </r>
  <r>
    <n v="798"/>
    <d v="2023-08-04T00:00:00"/>
    <x v="797"/>
    <x v="0"/>
    <n v="61"/>
    <x v="1"/>
    <n v="1"/>
    <n v="50"/>
    <n v="50"/>
    <n v="50"/>
    <x v="3"/>
    <x v="8"/>
  </r>
  <r>
    <n v="799"/>
    <d v="2023-09-08T00:00:00"/>
    <x v="798"/>
    <x v="0"/>
    <n v="56"/>
    <x v="2"/>
    <n v="2"/>
    <n v="50"/>
    <n v="100"/>
    <n v="100"/>
    <x v="3"/>
    <x v="9"/>
  </r>
  <r>
    <n v="800"/>
    <d v="2023-02-24T00:00:00"/>
    <x v="799"/>
    <x v="0"/>
    <n v="32"/>
    <x v="1"/>
    <n v="4"/>
    <n v="300"/>
    <n v="1200"/>
    <n v="1200"/>
    <x v="0"/>
    <x v="1"/>
  </r>
  <r>
    <n v="801"/>
    <d v="2023-08-10T00:00:00"/>
    <x v="800"/>
    <x v="0"/>
    <n v="21"/>
    <x v="1"/>
    <n v="4"/>
    <n v="50"/>
    <n v="200"/>
    <n v="200"/>
    <x v="4"/>
    <x v="8"/>
  </r>
  <r>
    <n v="802"/>
    <d v="2023-07-05T00:00:00"/>
    <x v="801"/>
    <x v="1"/>
    <n v="46"/>
    <x v="0"/>
    <n v="1"/>
    <n v="30"/>
    <n v="30"/>
    <n v="30"/>
    <x v="1"/>
    <x v="11"/>
  </r>
  <r>
    <n v="803"/>
    <d v="2023-11-22T00:00:00"/>
    <x v="802"/>
    <x v="0"/>
    <n v="39"/>
    <x v="1"/>
    <n v="4"/>
    <n v="25"/>
    <n v="100"/>
    <n v="100"/>
    <x v="2"/>
    <x v="0"/>
  </r>
  <r>
    <n v="804"/>
    <d v="2023-08-24T00:00:00"/>
    <x v="803"/>
    <x v="0"/>
    <n v="42"/>
    <x v="2"/>
    <n v="1"/>
    <n v="30"/>
    <n v="30"/>
    <n v="30"/>
    <x v="2"/>
    <x v="8"/>
  </r>
  <r>
    <n v="805"/>
    <d v="2023-12-29T00:00:00"/>
    <x v="804"/>
    <x v="1"/>
    <n v="30"/>
    <x v="0"/>
    <n v="3"/>
    <n v="500"/>
    <n v="1500"/>
    <n v="1500"/>
    <x v="0"/>
    <x v="6"/>
  </r>
  <r>
    <n v="806"/>
    <d v="2023-03-20T00:00:00"/>
    <x v="805"/>
    <x v="1"/>
    <n v="35"/>
    <x v="0"/>
    <n v="3"/>
    <n v="300"/>
    <n v="900"/>
    <n v="900"/>
    <x v="2"/>
    <x v="5"/>
  </r>
  <r>
    <n v="807"/>
    <d v="2023-08-11T00:00:00"/>
    <x v="806"/>
    <x v="1"/>
    <n v="50"/>
    <x v="2"/>
    <n v="4"/>
    <n v="50"/>
    <n v="200"/>
    <n v="200"/>
    <x v="1"/>
    <x v="8"/>
  </r>
  <r>
    <n v="808"/>
    <d v="2023-04-01T00:00:00"/>
    <x v="807"/>
    <x v="0"/>
    <n v="33"/>
    <x v="0"/>
    <n v="4"/>
    <n v="500"/>
    <n v="2000"/>
    <n v="2000"/>
    <x v="0"/>
    <x v="4"/>
  </r>
  <r>
    <n v="809"/>
    <d v="2023-09-25T00:00:00"/>
    <x v="808"/>
    <x v="1"/>
    <n v="62"/>
    <x v="0"/>
    <n v="2"/>
    <n v="50"/>
    <n v="100"/>
    <n v="100"/>
    <x v="3"/>
    <x v="9"/>
  </r>
  <r>
    <n v="810"/>
    <d v="2023-11-30T00:00:00"/>
    <x v="809"/>
    <x v="0"/>
    <n v="59"/>
    <x v="2"/>
    <n v="4"/>
    <n v="25"/>
    <n v="100"/>
    <n v="100"/>
    <x v="3"/>
    <x v="0"/>
  </r>
  <r>
    <n v="811"/>
    <d v="2023-05-19T00:00:00"/>
    <x v="810"/>
    <x v="0"/>
    <n v="61"/>
    <x v="0"/>
    <n v="2"/>
    <n v="25"/>
    <n v="50"/>
    <n v="50"/>
    <x v="3"/>
    <x v="3"/>
  </r>
  <r>
    <n v="812"/>
    <d v="2023-11-12T00:00:00"/>
    <x v="811"/>
    <x v="0"/>
    <n v="19"/>
    <x v="2"/>
    <n v="3"/>
    <n v="25"/>
    <n v="75"/>
    <n v="75"/>
    <x v="4"/>
    <x v="0"/>
  </r>
  <r>
    <n v="813"/>
    <d v="2023-10-03T00:00:00"/>
    <x v="812"/>
    <x v="0"/>
    <n v="52"/>
    <x v="2"/>
    <n v="3"/>
    <n v="50"/>
    <n v="150"/>
    <n v="150"/>
    <x v="1"/>
    <x v="7"/>
  </r>
  <r>
    <n v="814"/>
    <d v="2023-09-05T00:00:00"/>
    <x v="813"/>
    <x v="1"/>
    <n v="59"/>
    <x v="1"/>
    <n v="1"/>
    <n v="500"/>
    <n v="500"/>
    <n v="500"/>
    <x v="3"/>
    <x v="9"/>
  </r>
  <r>
    <n v="815"/>
    <d v="2023-08-27T00:00:00"/>
    <x v="814"/>
    <x v="1"/>
    <n v="51"/>
    <x v="1"/>
    <n v="3"/>
    <n v="25"/>
    <n v="75"/>
    <n v="75"/>
    <x v="1"/>
    <x v="8"/>
  </r>
  <r>
    <n v="816"/>
    <d v="2023-08-12T00:00:00"/>
    <x v="815"/>
    <x v="0"/>
    <n v="47"/>
    <x v="0"/>
    <n v="2"/>
    <n v="500"/>
    <n v="1000"/>
    <n v="1000"/>
    <x v="1"/>
    <x v="8"/>
  </r>
  <r>
    <n v="817"/>
    <d v="2023-10-31T00:00:00"/>
    <x v="816"/>
    <x v="0"/>
    <n v="30"/>
    <x v="0"/>
    <n v="4"/>
    <n v="50"/>
    <n v="200"/>
    <n v="200"/>
    <x v="0"/>
    <x v="7"/>
  </r>
  <r>
    <n v="818"/>
    <d v="2023-05-18T00:00:00"/>
    <x v="817"/>
    <x v="0"/>
    <n v="30"/>
    <x v="2"/>
    <n v="1"/>
    <n v="500"/>
    <n v="500"/>
    <n v="500"/>
    <x v="0"/>
    <x v="3"/>
  </r>
  <r>
    <n v="819"/>
    <d v="2023-06-15T00:00:00"/>
    <x v="818"/>
    <x v="1"/>
    <n v="35"/>
    <x v="0"/>
    <n v="2"/>
    <n v="50"/>
    <n v="100"/>
    <n v="100"/>
    <x v="2"/>
    <x v="10"/>
  </r>
  <r>
    <n v="820"/>
    <d v="2023-05-06T00:00:00"/>
    <x v="819"/>
    <x v="0"/>
    <n v="49"/>
    <x v="2"/>
    <n v="4"/>
    <n v="50"/>
    <n v="200"/>
    <n v="200"/>
    <x v="1"/>
    <x v="3"/>
  </r>
  <r>
    <n v="821"/>
    <d v="2023-02-14T00:00:00"/>
    <x v="820"/>
    <x v="0"/>
    <n v="49"/>
    <x v="2"/>
    <n v="1"/>
    <n v="300"/>
    <n v="300"/>
    <n v="300"/>
    <x v="1"/>
    <x v="1"/>
  </r>
  <r>
    <n v="822"/>
    <d v="2023-05-23T00:00:00"/>
    <x v="821"/>
    <x v="1"/>
    <n v="52"/>
    <x v="0"/>
    <n v="3"/>
    <n v="50"/>
    <n v="150"/>
    <n v="150"/>
    <x v="1"/>
    <x v="3"/>
  </r>
  <r>
    <n v="823"/>
    <d v="2023-08-19T00:00:00"/>
    <x v="822"/>
    <x v="1"/>
    <n v="56"/>
    <x v="2"/>
    <n v="2"/>
    <n v="50"/>
    <n v="100"/>
    <n v="100"/>
    <x v="3"/>
    <x v="8"/>
  </r>
  <r>
    <n v="824"/>
    <d v="2023-05-05T00:00:00"/>
    <x v="823"/>
    <x v="0"/>
    <n v="63"/>
    <x v="1"/>
    <n v="4"/>
    <n v="30"/>
    <n v="120"/>
    <n v="120"/>
    <x v="3"/>
    <x v="3"/>
  </r>
  <r>
    <n v="825"/>
    <d v="2023-08-26T00:00:00"/>
    <x v="824"/>
    <x v="1"/>
    <n v="46"/>
    <x v="0"/>
    <n v="1"/>
    <n v="25"/>
    <n v="25"/>
    <n v="25"/>
    <x v="1"/>
    <x v="8"/>
  </r>
  <r>
    <n v="826"/>
    <d v="2023-10-19T00:00:00"/>
    <x v="825"/>
    <x v="1"/>
    <n v="46"/>
    <x v="1"/>
    <n v="1"/>
    <n v="300"/>
    <n v="300"/>
    <n v="300"/>
    <x v="1"/>
    <x v="7"/>
  </r>
  <r>
    <n v="827"/>
    <d v="2023-11-09T00:00:00"/>
    <x v="826"/>
    <x v="0"/>
    <n v="61"/>
    <x v="0"/>
    <n v="3"/>
    <n v="300"/>
    <n v="900"/>
    <n v="900"/>
    <x v="3"/>
    <x v="0"/>
  </r>
  <r>
    <n v="828"/>
    <d v="2023-12-09T00:00:00"/>
    <x v="827"/>
    <x v="1"/>
    <n v="33"/>
    <x v="2"/>
    <n v="4"/>
    <n v="300"/>
    <n v="1200"/>
    <n v="1200"/>
    <x v="0"/>
    <x v="6"/>
  </r>
  <r>
    <n v="829"/>
    <d v="2023-07-14T00:00:00"/>
    <x v="828"/>
    <x v="0"/>
    <n v="61"/>
    <x v="0"/>
    <n v="3"/>
    <n v="30"/>
    <n v="90"/>
    <n v="90"/>
    <x v="3"/>
    <x v="11"/>
  </r>
  <r>
    <n v="830"/>
    <d v="2023-06-22T00:00:00"/>
    <x v="829"/>
    <x v="1"/>
    <n v="64"/>
    <x v="1"/>
    <n v="3"/>
    <n v="50"/>
    <n v="150"/>
    <n v="150"/>
    <x v="3"/>
    <x v="10"/>
  </r>
  <r>
    <n v="831"/>
    <d v="2023-01-15T00:00:00"/>
    <x v="830"/>
    <x v="0"/>
    <n v="27"/>
    <x v="2"/>
    <n v="4"/>
    <n v="25"/>
    <n v="100"/>
    <n v="100"/>
    <x v="0"/>
    <x v="2"/>
  </r>
  <r>
    <n v="832"/>
    <d v="2023-09-11T00:00:00"/>
    <x v="831"/>
    <x v="0"/>
    <n v="47"/>
    <x v="0"/>
    <n v="4"/>
    <n v="500"/>
    <n v="2000"/>
    <n v="2000"/>
    <x v="1"/>
    <x v="9"/>
  </r>
  <r>
    <n v="833"/>
    <d v="2023-06-16T00:00:00"/>
    <x v="832"/>
    <x v="0"/>
    <n v="42"/>
    <x v="0"/>
    <n v="4"/>
    <n v="50"/>
    <n v="200"/>
    <n v="200"/>
    <x v="2"/>
    <x v="10"/>
  </r>
  <r>
    <n v="834"/>
    <d v="2023-04-04T00:00:00"/>
    <x v="833"/>
    <x v="1"/>
    <n v="56"/>
    <x v="0"/>
    <n v="2"/>
    <n v="30"/>
    <n v="60"/>
    <n v="60"/>
    <x v="3"/>
    <x v="4"/>
  </r>
  <r>
    <n v="835"/>
    <d v="2023-09-07T00:00:00"/>
    <x v="834"/>
    <x v="0"/>
    <n v="37"/>
    <x v="1"/>
    <n v="4"/>
    <n v="50"/>
    <n v="200"/>
    <n v="200"/>
    <x v="2"/>
    <x v="9"/>
  </r>
  <r>
    <n v="836"/>
    <d v="2023-04-19T00:00:00"/>
    <x v="835"/>
    <x v="1"/>
    <n v="22"/>
    <x v="1"/>
    <n v="1"/>
    <n v="50"/>
    <n v="50"/>
    <n v="50"/>
    <x v="4"/>
    <x v="4"/>
  </r>
  <r>
    <n v="837"/>
    <d v="2023-07-01T00:00:00"/>
    <x v="836"/>
    <x v="0"/>
    <n v="18"/>
    <x v="0"/>
    <n v="3"/>
    <n v="30"/>
    <n v="90"/>
    <n v="90"/>
    <x v="4"/>
    <x v="11"/>
  </r>
  <r>
    <n v="838"/>
    <d v="2023-05-13T00:00:00"/>
    <x v="837"/>
    <x v="0"/>
    <n v="47"/>
    <x v="2"/>
    <n v="2"/>
    <n v="300"/>
    <n v="600"/>
    <n v="600"/>
    <x v="1"/>
    <x v="3"/>
  </r>
  <r>
    <n v="839"/>
    <d v="2023-06-24T00:00:00"/>
    <x v="838"/>
    <x v="1"/>
    <n v="20"/>
    <x v="2"/>
    <n v="4"/>
    <n v="300"/>
    <n v="1200"/>
    <n v="1200"/>
    <x v="4"/>
    <x v="10"/>
  </r>
  <r>
    <n v="840"/>
    <d v="2023-05-24T00:00:00"/>
    <x v="839"/>
    <x v="0"/>
    <n v="62"/>
    <x v="1"/>
    <n v="2"/>
    <n v="25"/>
    <n v="50"/>
    <n v="50"/>
    <x v="3"/>
    <x v="3"/>
  </r>
  <r>
    <n v="841"/>
    <d v="2023-11-02T00:00:00"/>
    <x v="840"/>
    <x v="0"/>
    <n v="31"/>
    <x v="2"/>
    <n v="4"/>
    <n v="25"/>
    <n v="100"/>
    <n v="100"/>
    <x v="0"/>
    <x v="0"/>
  </r>
  <r>
    <n v="842"/>
    <d v="2023-12-26T00:00:00"/>
    <x v="841"/>
    <x v="1"/>
    <n v="47"/>
    <x v="1"/>
    <n v="2"/>
    <n v="300"/>
    <n v="600"/>
    <n v="600"/>
    <x v="1"/>
    <x v="6"/>
  </r>
  <r>
    <n v="843"/>
    <d v="2023-05-22T00:00:00"/>
    <x v="842"/>
    <x v="0"/>
    <n v="21"/>
    <x v="0"/>
    <n v="3"/>
    <n v="500"/>
    <n v="1500"/>
    <n v="1500"/>
    <x v="4"/>
    <x v="3"/>
  </r>
  <r>
    <n v="844"/>
    <d v="2023-10-12T00:00:00"/>
    <x v="843"/>
    <x v="0"/>
    <n v="35"/>
    <x v="1"/>
    <n v="3"/>
    <n v="50"/>
    <n v="150"/>
    <n v="150"/>
    <x v="2"/>
    <x v="7"/>
  </r>
  <r>
    <n v="845"/>
    <d v="2023-01-06T00:00:00"/>
    <x v="844"/>
    <x v="0"/>
    <n v="54"/>
    <x v="1"/>
    <n v="1"/>
    <n v="500"/>
    <n v="500"/>
    <n v="500"/>
    <x v="1"/>
    <x v="2"/>
  </r>
  <r>
    <n v="846"/>
    <d v="2023-09-22T00:00:00"/>
    <x v="845"/>
    <x v="0"/>
    <n v="42"/>
    <x v="0"/>
    <n v="1"/>
    <n v="50"/>
    <n v="50"/>
    <n v="50"/>
    <x v="2"/>
    <x v="9"/>
  </r>
  <r>
    <n v="847"/>
    <d v="2023-04-08T00:00:00"/>
    <x v="846"/>
    <x v="1"/>
    <n v="18"/>
    <x v="2"/>
    <n v="4"/>
    <n v="300"/>
    <n v="1200"/>
    <n v="1200"/>
    <x v="4"/>
    <x v="4"/>
  </r>
  <r>
    <n v="848"/>
    <d v="2023-02-13T00:00:00"/>
    <x v="847"/>
    <x v="1"/>
    <n v="63"/>
    <x v="1"/>
    <n v="3"/>
    <n v="25"/>
    <n v="75"/>
    <n v="75"/>
    <x v="3"/>
    <x v="1"/>
  </r>
  <r>
    <n v="849"/>
    <d v="2023-05-04T00:00:00"/>
    <x v="848"/>
    <x v="0"/>
    <n v="32"/>
    <x v="1"/>
    <n v="2"/>
    <n v="25"/>
    <n v="50"/>
    <n v="50"/>
    <x v="0"/>
    <x v="3"/>
  </r>
  <r>
    <n v="850"/>
    <d v="2023-07-28T00:00:00"/>
    <x v="849"/>
    <x v="1"/>
    <n v="26"/>
    <x v="0"/>
    <n v="2"/>
    <n v="500"/>
    <n v="1000"/>
    <n v="1000"/>
    <x v="0"/>
    <x v="11"/>
  </r>
  <r>
    <n v="851"/>
    <d v="2023-09-08T00:00:00"/>
    <x v="850"/>
    <x v="0"/>
    <n v="32"/>
    <x v="2"/>
    <n v="2"/>
    <n v="25"/>
    <n v="50"/>
    <n v="50"/>
    <x v="0"/>
    <x v="9"/>
  </r>
  <r>
    <n v="852"/>
    <d v="2023-10-12T00:00:00"/>
    <x v="851"/>
    <x v="1"/>
    <n v="41"/>
    <x v="1"/>
    <n v="1"/>
    <n v="300"/>
    <n v="300"/>
    <n v="300"/>
    <x v="2"/>
    <x v="7"/>
  </r>
  <r>
    <n v="853"/>
    <d v="2023-05-04T00:00:00"/>
    <x v="852"/>
    <x v="0"/>
    <n v="21"/>
    <x v="0"/>
    <n v="2"/>
    <n v="500"/>
    <n v="1000"/>
    <n v="1000"/>
    <x v="4"/>
    <x v="3"/>
  </r>
  <r>
    <n v="854"/>
    <d v="2023-12-20T00:00:00"/>
    <x v="853"/>
    <x v="0"/>
    <n v="29"/>
    <x v="1"/>
    <n v="1"/>
    <n v="50"/>
    <n v="50"/>
    <n v="50"/>
    <x v="0"/>
    <x v="6"/>
  </r>
  <r>
    <n v="855"/>
    <d v="2023-09-01T00:00:00"/>
    <x v="854"/>
    <x v="0"/>
    <n v="54"/>
    <x v="0"/>
    <n v="1"/>
    <n v="25"/>
    <n v="25"/>
    <n v="25"/>
    <x v="1"/>
    <x v="9"/>
  </r>
  <r>
    <n v="856"/>
    <d v="2023-11-27T00:00:00"/>
    <x v="855"/>
    <x v="0"/>
    <n v="54"/>
    <x v="2"/>
    <n v="4"/>
    <n v="30"/>
    <n v="120"/>
    <n v="120"/>
    <x v="1"/>
    <x v="0"/>
  </r>
  <r>
    <n v="857"/>
    <d v="2023-12-31T00:00:00"/>
    <x v="856"/>
    <x v="0"/>
    <n v="60"/>
    <x v="2"/>
    <n v="2"/>
    <n v="25"/>
    <n v="50"/>
    <n v="50"/>
    <x v="3"/>
    <x v="6"/>
  </r>
  <r>
    <n v="858"/>
    <d v="2023-09-09T00:00:00"/>
    <x v="857"/>
    <x v="0"/>
    <n v="23"/>
    <x v="2"/>
    <n v="2"/>
    <n v="50"/>
    <n v="100"/>
    <n v="100"/>
    <x v="4"/>
    <x v="9"/>
  </r>
  <r>
    <n v="859"/>
    <d v="2023-08-18T00:00:00"/>
    <x v="858"/>
    <x v="1"/>
    <n v="56"/>
    <x v="2"/>
    <n v="3"/>
    <n v="500"/>
    <n v="1500"/>
    <n v="1500"/>
    <x v="3"/>
    <x v="8"/>
  </r>
  <r>
    <n v="860"/>
    <d v="2023-01-09T00:00:00"/>
    <x v="859"/>
    <x v="0"/>
    <n v="63"/>
    <x v="1"/>
    <n v="4"/>
    <n v="50"/>
    <n v="200"/>
    <n v="200"/>
    <x v="3"/>
    <x v="2"/>
  </r>
  <r>
    <n v="861"/>
    <d v="2023-02-17T00:00:00"/>
    <x v="860"/>
    <x v="1"/>
    <n v="41"/>
    <x v="1"/>
    <n v="3"/>
    <n v="30"/>
    <n v="90"/>
    <n v="90"/>
    <x v="2"/>
    <x v="1"/>
  </r>
  <r>
    <n v="862"/>
    <d v="2023-05-31T00:00:00"/>
    <x v="861"/>
    <x v="0"/>
    <n v="28"/>
    <x v="2"/>
    <n v="4"/>
    <n v="300"/>
    <n v="1200"/>
    <n v="1200"/>
    <x v="0"/>
    <x v="3"/>
  </r>
  <r>
    <n v="863"/>
    <d v="2023-04-24T00:00:00"/>
    <x v="862"/>
    <x v="1"/>
    <n v="30"/>
    <x v="2"/>
    <n v="2"/>
    <n v="25"/>
    <n v="50"/>
    <n v="50"/>
    <x v="0"/>
    <x v="4"/>
  </r>
  <r>
    <n v="864"/>
    <d v="2023-07-27T00:00:00"/>
    <x v="863"/>
    <x v="1"/>
    <n v="51"/>
    <x v="2"/>
    <n v="1"/>
    <n v="500"/>
    <n v="500"/>
    <n v="500"/>
    <x v="1"/>
    <x v="11"/>
  </r>
  <r>
    <n v="865"/>
    <d v="2023-12-21T00:00:00"/>
    <x v="864"/>
    <x v="1"/>
    <n v="42"/>
    <x v="1"/>
    <n v="1"/>
    <n v="300"/>
    <n v="300"/>
    <n v="300"/>
    <x v="2"/>
    <x v="6"/>
  </r>
  <r>
    <n v="866"/>
    <d v="2023-05-05T00:00:00"/>
    <x v="865"/>
    <x v="0"/>
    <n v="24"/>
    <x v="2"/>
    <n v="1"/>
    <n v="50"/>
    <n v="50"/>
    <n v="50"/>
    <x v="4"/>
    <x v="3"/>
  </r>
  <r>
    <n v="867"/>
    <d v="2023-06-06T00:00:00"/>
    <x v="866"/>
    <x v="0"/>
    <n v="21"/>
    <x v="2"/>
    <n v="1"/>
    <n v="500"/>
    <n v="500"/>
    <n v="500"/>
    <x v="4"/>
    <x v="10"/>
  </r>
  <r>
    <n v="868"/>
    <d v="2023-12-06T00:00:00"/>
    <x v="867"/>
    <x v="1"/>
    <n v="25"/>
    <x v="2"/>
    <n v="1"/>
    <n v="300"/>
    <n v="300"/>
    <n v="300"/>
    <x v="0"/>
    <x v="6"/>
  </r>
  <r>
    <n v="869"/>
    <d v="2023-10-25T00:00:00"/>
    <x v="868"/>
    <x v="0"/>
    <n v="37"/>
    <x v="0"/>
    <n v="3"/>
    <n v="500"/>
    <n v="1500"/>
    <n v="1500"/>
    <x v="2"/>
    <x v="7"/>
  </r>
  <r>
    <n v="870"/>
    <d v="2023-07-08T00:00:00"/>
    <x v="869"/>
    <x v="1"/>
    <n v="46"/>
    <x v="2"/>
    <n v="4"/>
    <n v="30"/>
    <n v="120"/>
    <n v="120"/>
    <x v="1"/>
    <x v="11"/>
  </r>
  <r>
    <n v="871"/>
    <d v="2023-08-31T00:00:00"/>
    <x v="870"/>
    <x v="0"/>
    <n v="62"/>
    <x v="0"/>
    <n v="2"/>
    <n v="30"/>
    <n v="60"/>
    <n v="60"/>
    <x v="3"/>
    <x v="8"/>
  </r>
  <r>
    <n v="872"/>
    <d v="2023-10-11T00:00:00"/>
    <x v="871"/>
    <x v="1"/>
    <n v="63"/>
    <x v="0"/>
    <n v="3"/>
    <n v="25"/>
    <n v="75"/>
    <n v="75"/>
    <x v="3"/>
    <x v="7"/>
  </r>
  <r>
    <n v="873"/>
    <d v="2023-09-29T00:00:00"/>
    <x v="872"/>
    <x v="1"/>
    <n v="27"/>
    <x v="2"/>
    <n v="4"/>
    <n v="25"/>
    <n v="100"/>
    <n v="100"/>
    <x v="0"/>
    <x v="9"/>
  </r>
  <r>
    <n v="874"/>
    <d v="2023-06-26T00:00:00"/>
    <x v="873"/>
    <x v="0"/>
    <n v="60"/>
    <x v="0"/>
    <n v="1"/>
    <n v="30"/>
    <n v="30"/>
    <n v="30"/>
    <x v="3"/>
    <x v="10"/>
  </r>
  <r>
    <n v="875"/>
    <d v="2023-08-06T00:00:00"/>
    <x v="874"/>
    <x v="1"/>
    <n v="51"/>
    <x v="2"/>
    <n v="4"/>
    <n v="500"/>
    <n v="2000"/>
    <n v="2000"/>
    <x v="1"/>
    <x v="8"/>
  </r>
  <r>
    <n v="876"/>
    <d v="2023-10-09T00:00:00"/>
    <x v="875"/>
    <x v="0"/>
    <n v="43"/>
    <x v="1"/>
    <n v="4"/>
    <n v="30"/>
    <n v="120"/>
    <n v="120"/>
    <x v="2"/>
    <x v="7"/>
  </r>
  <r>
    <n v="877"/>
    <d v="2023-06-19T00:00:00"/>
    <x v="876"/>
    <x v="1"/>
    <n v="58"/>
    <x v="1"/>
    <n v="1"/>
    <n v="25"/>
    <n v="25"/>
    <n v="25"/>
    <x v="3"/>
    <x v="10"/>
  </r>
  <r>
    <n v="878"/>
    <d v="2023-06-30T00:00:00"/>
    <x v="877"/>
    <x v="1"/>
    <n v="20"/>
    <x v="1"/>
    <n v="1"/>
    <n v="30"/>
    <n v="30"/>
    <n v="30"/>
    <x v="4"/>
    <x v="10"/>
  </r>
  <r>
    <n v="879"/>
    <d v="2023-12-26T00:00:00"/>
    <x v="878"/>
    <x v="0"/>
    <n v="23"/>
    <x v="1"/>
    <n v="1"/>
    <n v="30"/>
    <n v="30"/>
    <n v="30"/>
    <x v="4"/>
    <x v="6"/>
  </r>
  <r>
    <n v="880"/>
    <d v="2023-08-21T00:00:00"/>
    <x v="879"/>
    <x v="0"/>
    <n v="22"/>
    <x v="0"/>
    <n v="2"/>
    <n v="500"/>
    <n v="1000"/>
    <n v="1000"/>
    <x v="4"/>
    <x v="8"/>
  </r>
  <r>
    <n v="881"/>
    <d v="2023-05-19T00:00:00"/>
    <x v="880"/>
    <x v="0"/>
    <n v="22"/>
    <x v="2"/>
    <n v="1"/>
    <n v="300"/>
    <n v="300"/>
    <n v="300"/>
    <x v="4"/>
    <x v="3"/>
  </r>
  <r>
    <n v="882"/>
    <d v="2023-06-06T00:00:00"/>
    <x v="881"/>
    <x v="1"/>
    <n v="64"/>
    <x v="2"/>
    <n v="2"/>
    <n v="25"/>
    <n v="50"/>
    <n v="50"/>
    <x v="3"/>
    <x v="10"/>
  </r>
  <r>
    <n v="883"/>
    <d v="2023-05-09T00:00:00"/>
    <x v="882"/>
    <x v="0"/>
    <n v="40"/>
    <x v="2"/>
    <n v="1"/>
    <n v="500"/>
    <n v="500"/>
    <n v="500"/>
    <x v="2"/>
    <x v="3"/>
  </r>
  <r>
    <n v="884"/>
    <d v="2023-04-29T00:00:00"/>
    <x v="883"/>
    <x v="1"/>
    <n v="26"/>
    <x v="1"/>
    <n v="2"/>
    <n v="30"/>
    <n v="60"/>
    <n v="60"/>
    <x v="0"/>
    <x v="4"/>
  </r>
  <r>
    <n v="885"/>
    <d v="2023-03-03T00:00:00"/>
    <x v="884"/>
    <x v="1"/>
    <n v="52"/>
    <x v="1"/>
    <n v="4"/>
    <n v="30"/>
    <n v="120"/>
    <n v="120"/>
    <x v="1"/>
    <x v="5"/>
  </r>
  <r>
    <n v="886"/>
    <d v="2023-04-09T00:00:00"/>
    <x v="885"/>
    <x v="0"/>
    <n v="37"/>
    <x v="2"/>
    <n v="3"/>
    <n v="300"/>
    <n v="900"/>
    <n v="900"/>
    <x v="2"/>
    <x v="4"/>
  </r>
  <r>
    <n v="887"/>
    <d v="2023-06-11T00:00:00"/>
    <x v="886"/>
    <x v="0"/>
    <n v="59"/>
    <x v="1"/>
    <n v="4"/>
    <n v="25"/>
    <n v="100"/>
    <n v="100"/>
    <x v="3"/>
    <x v="10"/>
  </r>
  <r>
    <n v="888"/>
    <d v="2023-03-03T00:00:00"/>
    <x v="887"/>
    <x v="1"/>
    <n v="52"/>
    <x v="2"/>
    <n v="4"/>
    <n v="25"/>
    <n v="100"/>
    <n v="100"/>
    <x v="1"/>
    <x v="5"/>
  </r>
  <r>
    <n v="889"/>
    <d v="2023-10-02T00:00:00"/>
    <x v="888"/>
    <x v="1"/>
    <n v="35"/>
    <x v="2"/>
    <n v="1"/>
    <n v="50"/>
    <n v="50"/>
    <n v="50"/>
    <x v="2"/>
    <x v="7"/>
  </r>
  <r>
    <n v="890"/>
    <d v="2023-12-20T00:00:00"/>
    <x v="889"/>
    <x v="0"/>
    <n v="34"/>
    <x v="2"/>
    <n v="2"/>
    <n v="25"/>
    <n v="50"/>
    <n v="50"/>
    <x v="0"/>
    <x v="6"/>
  </r>
  <r>
    <n v="891"/>
    <d v="2023-04-05T00:00:00"/>
    <x v="890"/>
    <x v="0"/>
    <n v="41"/>
    <x v="2"/>
    <n v="3"/>
    <n v="300"/>
    <n v="900"/>
    <n v="900"/>
    <x v="2"/>
    <x v="4"/>
  </r>
  <r>
    <n v="892"/>
    <d v="2023-04-09T00:00:00"/>
    <x v="891"/>
    <x v="0"/>
    <n v="20"/>
    <x v="2"/>
    <n v="1"/>
    <n v="50"/>
    <n v="50"/>
    <n v="50"/>
    <x v="4"/>
    <x v="4"/>
  </r>
  <r>
    <n v="893"/>
    <d v="2023-04-21T00:00:00"/>
    <x v="892"/>
    <x v="0"/>
    <n v="49"/>
    <x v="2"/>
    <n v="1"/>
    <n v="50"/>
    <n v="50"/>
    <n v="50"/>
    <x v="1"/>
    <x v="4"/>
  </r>
  <r>
    <n v="894"/>
    <d v="2023-09-05T00:00:00"/>
    <x v="893"/>
    <x v="0"/>
    <n v="52"/>
    <x v="2"/>
    <n v="1"/>
    <n v="30"/>
    <n v="30"/>
    <n v="30"/>
    <x v="1"/>
    <x v="9"/>
  </r>
  <r>
    <n v="895"/>
    <d v="2023-05-22T00:00:00"/>
    <x v="894"/>
    <x v="1"/>
    <n v="55"/>
    <x v="1"/>
    <n v="4"/>
    <n v="30"/>
    <n v="120"/>
    <n v="120"/>
    <x v="3"/>
    <x v="3"/>
  </r>
  <r>
    <n v="896"/>
    <d v="2023-10-29T00:00:00"/>
    <x v="895"/>
    <x v="1"/>
    <n v="30"/>
    <x v="2"/>
    <n v="2"/>
    <n v="25"/>
    <n v="50"/>
    <n v="50"/>
    <x v="0"/>
    <x v="7"/>
  </r>
  <r>
    <n v="897"/>
    <d v="2023-09-26T00:00:00"/>
    <x v="896"/>
    <x v="1"/>
    <n v="64"/>
    <x v="2"/>
    <n v="2"/>
    <n v="50"/>
    <n v="100"/>
    <n v="100"/>
    <x v="3"/>
    <x v="9"/>
  </r>
  <r>
    <n v="898"/>
    <d v="2023-11-02T00:00:00"/>
    <x v="897"/>
    <x v="1"/>
    <n v="42"/>
    <x v="1"/>
    <n v="3"/>
    <n v="30"/>
    <n v="90"/>
    <n v="90"/>
    <x v="2"/>
    <x v="0"/>
  </r>
  <r>
    <n v="899"/>
    <d v="2023-05-25T00:00:00"/>
    <x v="898"/>
    <x v="0"/>
    <n v="26"/>
    <x v="1"/>
    <n v="2"/>
    <n v="300"/>
    <n v="600"/>
    <n v="600"/>
    <x v="0"/>
    <x v="3"/>
  </r>
  <r>
    <n v="900"/>
    <d v="2023-02-21T00:00:00"/>
    <x v="899"/>
    <x v="0"/>
    <n v="21"/>
    <x v="1"/>
    <n v="2"/>
    <n v="30"/>
    <n v="60"/>
    <n v="60"/>
    <x v="4"/>
    <x v="1"/>
  </r>
  <r>
    <n v="901"/>
    <d v="2023-04-10T00:00:00"/>
    <x v="900"/>
    <x v="0"/>
    <n v="31"/>
    <x v="2"/>
    <n v="1"/>
    <n v="30"/>
    <n v="30"/>
    <n v="30"/>
    <x v="0"/>
    <x v="4"/>
  </r>
  <r>
    <n v="902"/>
    <d v="2023-06-01T00:00:00"/>
    <x v="901"/>
    <x v="1"/>
    <n v="54"/>
    <x v="0"/>
    <n v="1"/>
    <n v="50"/>
    <n v="50"/>
    <n v="50"/>
    <x v="1"/>
    <x v="10"/>
  </r>
  <r>
    <n v="903"/>
    <d v="2023-04-27T00:00:00"/>
    <x v="902"/>
    <x v="1"/>
    <n v="51"/>
    <x v="0"/>
    <n v="4"/>
    <n v="50"/>
    <n v="200"/>
    <n v="200"/>
    <x v="1"/>
    <x v="4"/>
  </r>
  <r>
    <n v="904"/>
    <d v="2023-07-04T00:00:00"/>
    <x v="903"/>
    <x v="0"/>
    <n v="28"/>
    <x v="1"/>
    <n v="1"/>
    <n v="500"/>
    <n v="500"/>
    <n v="500"/>
    <x v="0"/>
    <x v="11"/>
  </r>
  <r>
    <n v="905"/>
    <d v="2023-04-02T00:00:00"/>
    <x v="904"/>
    <x v="0"/>
    <n v="58"/>
    <x v="0"/>
    <n v="1"/>
    <n v="300"/>
    <n v="300"/>
    <n v="300"/>
    <x v="3"/>
    <x v="4"/>
  </r>
  <r>
    <n v="906"/>
    <d v="2023-06-04T00:00:00"/>
    <x v="905"/>
    <x v="1"/>
    <n v="20"/>
    <x v="1"/>
    <n v="1"/>
    <n v="50"/>
    <n v="50"/>
    <n v="50"/>
    <x v="4"/>
    <x v="10"/>
  </r>
  <r>
    <n v="907"/>
    <d v="2023-01-08T00:00:00"/>
    <x v="906"/>
    <x v="1"/>
    <n v="45"/>
    <x v="2"/>
    <n v="1"/>
    <n v="25"/>
    <n v="25"/>
    <n v="25"/>
    <x v="1"/>
    <x v="2"/>
  </r>
  <r>
    <n v="908"/>
    <d v="2023-12-29T00:00:00"/>
    <x v="907"/>
    <x v="0"/>
    <n v="46"/>
    <x v="0"/>
    <n v="4"/>
    <n v="300"/>
    <n v="1200"/>
    <n v="1200"/>
    <x v="1"/>
    <x v="6"/>
  </r>
  <r>
    <n v="909"/>
    <d v="2023-10-01T00:00:00"/>
    <x v="908"/>
    <x v="0"/>
    <n v="26"/>
    <x v="2"/>
    <n v="1"/>
    <n v="300"/>
    <n v="300"/>
    <n v="300"/>
    <x v="0"/>
    <x v="7"/>
  </r>
  <r>
    <n v="910"/>
    <d v="2023-03-06T00:00:00"/>
    <x v="909"/>
    <x v="1"/>
    <n v="20"/>
    <x v="0"/>
    <n v="3"/>
    <n v="50"/>
    <n v="150"/>
    <n v="150"/>
    <x v="4"/>
    <x v="5"/>
  </r>
  <r>
    <n v="911"/>
    <d v="2023-05-21T00:00:00"/>
    <x v="910"/>
    <x v="0"/>
    <n v="42"/>
    <x v="2"/>
    <n v="3"/>
    <n v="300"/>
    <n v="900"/>
    <n v="900"/>
    <x v="2"/>
    <x v="3"/>
  </r>
  <r>
    <n v="912"/>
    <d v="2023-01-24T00:00:00"/>
    <x v="911"/>
    <x v="0"/>
    <n v="51"/>
    <x v="0"/>
    <n v="3"/>
    <n v="50"/>
    <n v="150"/>
    <n v="150"/>
    <x v="1"/>
    <x v="2"/>
  </r>
  <r>
    <n v="913"/>
    <d v="2023-01-28T00:00:00"/>
    <x v="912"/>
    <x v="0"/>
    <n v="29"/>
    <x v="2"/>
    <n v="3"/>
    <n v="30"/>
    <n v="90"/>
    <n v="90"/>
    <x v="0"/>
    <x v="2"/>
  </r>
  <r>
    <n v="914"/>
    <d v="2023-10-11T00:00:00"/>
    <x v="913"/>
    <x v="1"/>
    <n v="59"/>
    <x v="2"/>
    <n v="1"/>
    <n v="500"/>
    <n v="500"/>
    <n v="500"/>
    <x v="3"/>
    <x v="7"/>
  </r>
  <r>
    <n v="915"/>
    <d v="2023-05-30T00:00:00"/>
    <x v="914"/>
    <x v="1"/>
    <n v="26"/>
    <x v="0"/>
    <n v="3"/>
    <n v="30"/>
    <n v="90"/>
    <n v="90"/>
    <x v="0"/>
    <x v="3"/>
  </r>
  <r>
    <n v="916"/>
    <d v="2023-12-24T00:00:00"/>
    <x v="915"/>
    <x v="1"/>
    <n v="32"/>
    <x v="2"/>
    <n v="1"/>
    <n v="50"/>
    <n v="50"/>
    <n v="50"/>
    <x v="0"/>
    <x v="6"/>
  </r>
  <r>
    <n v="917"/>
    <d v="2023-03-06T00:00:00"/>
    <x v="916"/>
    <x v="1"/>
    <n v="57"/>
    <x v="2"/>
    <n v="4"/>
    <n v="50"/>
    <n v="200"/>
    <n v="200"/>
    <x v="3"/>
    <x v="5"/>
  </r>
  <r>
    <n v="918"/>
    <d v="2023-11-23T00:00:00"/>
    <x v="917"/>
    <x v="1"/>
    <n v="42"/>
    <x v="2"/>
    <n v="3"/>
    <n v="30"/>
    <n v="90"/>
    <n v="90"/>
    <x v="2"/>
    <x v="0"/>
  </r>
  <r>
    <n v="919"/>
    <d v="2023-09-09T00:00:00"/>
    <x v="918"/>
    <x v="1"/>
    <n v="22"/>
    <x v="0"/>
    <n v="2"/>
    <n v="25"/>
    <n v="50"/>
    <n v="50"/>
    <x v="4"/>
    <x v="9"/>
  </r>
  <r>
    <n v="920"/>
    <d v="2023-02-22T00:00:00"/>
    <x v="919"/>
    <x v="1"/>
    <n v="28"/>
    <x v="0"/>
    <n v="3"/>
    <n v="25"/>
    <n v="75"/>
    <n v="75"/>
    <x v="0"/>
    <x v="1"/>
  </r>
  <r>
    <n v="921"/>
    <d v="2023-01-07T00:00:00"/>
    <x v="920"/>
    <x v="0"/>
    <n v="51"/>
    <x v="2"/>
    <n v="3"/>
    <n v="25"/>
    <n v="75"/>
    <n v="75"/>
    <x v="1"/>
    <x v="2"/>
  </r>
  <r>
    <n v="922"/>
    <d v="2023-10-21T00:00:00"/>
    <x v="921"/>
    <x v="0"/>
    <n v="41"/>
    <x v="2"/>
    <n v="1"/>
    <n v="50"/>
    <n v="50"/>
    <n v="50"/>
    <x v="2"/>
    <x v="7"/>
  </r>
  <r>
    <n v="923"/>
    <d v="2023-05-26T00:00:00"/>
    <x v="922"/>
    <x v="0"/>
    <n v="32"/>
    <x v="0"/>
    <n v="3"/>
    <n v="300"/>
    <n v="900"/>
    <n v="900"/>
    <x v="0"/>
    <x v="3"/>
  </r>
  <r>
    <n v="924"/>
    <d v="2023-08-29T00:00:00"/>
    <x v="923"/>
    <x v="0"/>
    <n v="55"/>
    <x v="0"/>
    <n v="2"/>
    <n v="50"/>
    <n v="100"/>
    <n v="100"/>
    <x v="3"/>
    <x v="8"/>
  </r>
  <r>
    <n v="925"/>
    <d v="2023-09-03T00:00:00"/>
    <x v="924"/>
    <x v="0"/>
    <n v="25"/>
    <x v="2"/>
    <n v="1"/>
    <n v="300"/>
    <n v="300"/>
    <n v="300"/>
    <x v="0"/>
    <x v="9"/>
  </r>
  <r>
    <n v="926"/>
    <d v="2023-08-14T00:00:00"/>
    <x v="925"/>
    <x v="0"/>
    <n v="22"/>
    <x v="2"/>
    <n v="1"/>
    <n v="30"/>
    <n v="30"/>
    <n v="30"/>
    <x v="4"/>
    <x v="8"/>
  </r>
  <r>
    <n v="927"/>
    <d v="2023-06-24T00:00:00"/>
    <x v="926"/>
    <x v="0"/>
    <n v="43"/>
    <x v="2"/>
    <n v="4"/>
    <n v="500"/>
    <n v="2000"/>
    <n v="2000"/>
    <x v="2"/>
    <x v="10"/>
  </r>
  <r>
    <n v="928"/>
    <d v="2023-04-05T00:00:00"/>
    <x v="927"/>
    <x v="1"/>
    <n v="35"/>
    <x v="1"/>
    <n v="4"/>
    <n v="300"/>
    <n v="1200"/>
    <n v="1200"/>
    <x v="2"/>
    <x v="4"/>
  </r>
  <r>
    <n v="929"/>
    <d v="2023-01-27T00:00:00"/>
    <x v="928"/>
    <x v="1"/>
    <n v="23"/>
    <x v="0"/>
    <n v="3"/>
    <n v="25"/>
    <n v="75"/>
    <n v="75"/>
    <x v="4"/>
    <x v="2"/>
  </r>
  <r>
    <n v="930"/>
    <d v="2023-05-10T00:00:00"/>
    <x v="929"/>
    <x v="0"/>
    <n v="54"/>
    <x v="1"/>
    <n v="4"/>
    <n v="50"/>
    <n v="200"/>
    <n v="200"/>
    <x v="1"/>
    <x v="3"/>
  </r>
  <r>
    <n v="931"/>
    <d v="2023-09-02T00:00:00"/>
    <x v="930"/>
    <x v="0"/>
    <n v="30"/>
    <x v="0"/>
    <n v="4"/>
    <n v="30"/>
    <n v="120"/>
    <n v="120"/>
    <x v="0"/>
    <x v="9"/>
  </r>
  <r>
    <n v="932"/>
    <d v="2023-02-28T00:00:00"/>
    <x v="931"/>
    <x v="1"/>
    <n v="45"/>
    <x v="0"/>
    <n v="4"/>
    <n v="25"/>
    <n v="100"/>
    <n v="100"/>
    <x v="1"/>
    <x v="1"/>
  </r>
  <r>
    <n v="933"/>
    <d v="2023-02-03T00:00:00"/>
    <x v="932"/>
    <x v="0"/>
    <n v="22"/>
    <x v="0"/>
    <n v="1"/>
    <n v="30"/>
    <n v="30"/>
    <n v="30"/>
    <x v="4"/>
    <x v="1"/>
  </r>
  <r>
    <n v="934"/>
    <d v="2023-07-25T00:00:00"/>
    <x v="933"/>
    <x v="0"/>
    <n v="30"/>
    <x v="0"/>
    <n v="1"/>
    <n v="500"/>
    <n v="500"/>
    <n v="500"/>
    <x v="0"/>
    <x v="11"/>
  </r>
  <r>
    <n v="935"/>
    <d v="2023-09-09T00:00:00"/>
    <x v="934"/>
    <x v="1"/>
    <n v="34"/>
    <x v="0"/>
    <n v="1"/>
    <n v="50"/>
    <n v="50"/>
    <n v="50"/>
    <x v="0"/>
    <x v="9"/>
  </r>
  <r>
    <n v="936"/>
    <d v="2023-02-07T00:00:00"/>
    <x v="935"/>
    <x v="0"/>
    <n v="57"/>
    <x v="0"/>
    <n v="4"/>
    <n v="50"/>
    <n v="200"/>
    <n v="200"/>
    <x v="3"/>
    <x v="1"/>
  </r>
  <r>
    <n v="937"/>
    <d v="2023-10-23T00:00:00"/>
    <x v="936"/>
    <x v="1"/>
    <n v="62"/>
    <x v="0"/>
    <n v="1"/>
    <n v="500"/>
    <n v="500"/>
    <n v="500"/>
    <x v="3"/>
    <x v="7"/>
  </r>
  <r>
    <n v="938"/>
    <d v="2023-11-19T00:00:00"/>
    <x v="937"/>
    <x v="0"/>
    <n v="49"/>
    <x v="1"/>
    <n v="4"/>
    <n v="50"/>
    <n v="200"/>
    <n v="200"/>
    <x v="1"/>
    <x v="0"/>
  </r>
  <r>
    <n v="939"/>
    <d v="2023-12-18T00:00:00"/>
    <x v="938"/>
    <x v="1"/>
    <n v="46"/>
    <x v="2"/>
    <n v="1"/>
    <n v="300"/>
    <n v="300"/>
    <n v="300"/>
    <x v="1"/>
    <x v="6"/>
  </r>
  <r>
    <n v="940"/>
    <d v="2023-01-28T00:00:00"/>
    <x v="939"/>
    <x v="1"/>
    <n v="20"/>
    <x v="2"/>
    <n v="1"/>
    <n v="30"/>
    <n v="30"/>
    <n v="30"/>
    <x v="4"/>
    <x v="2"/>
  </r>
  <r>
    <n v="941"/>
    <d v="2023-03-19T00:00:00"/>
    <x v="940"/>
    <x v="1"/>
    <n v="57"/>
    <x v="1"/>
    <n v="2"/>
    <n v="25"/>
    <n v="50"/>
    <n v="50"/>
    <x v="3"/>
    <x v="5"/>
  </r>
  <r>
    <n v="942"/>
    <d v="2023-03-18T00:00:00"/>
    <x v="941"/>
    <x v="0"/>
    <n v="51"/>
    <x v="1"/>
    <n v="3"/>
    <n v="500"/>
    <n v="1500"/>
    <n v="1500"/>
    <x v="1"/>
    <x v="5"/>
  </r>
  <r>
    <n v="943"/>
    <d v="2023-10-16T00:00:00"/>
    <x v="942"/>
    <x v="1"/>
    <n v="57"/>
    <x v="1"/>
    <n v="4"/>
    <n v="300"/>
    <n v="1200"/>
    <n v="1200"/>
    <x v="3"/>
    <x v="7"/>
  </r>
  <r>
    <n v="944"/>
    <d v="2023-06-05T00:00:00"/>
    <x v="943"/>
    <x v="0"/>
    <n v="44"/>
    <x v="1"/>
    <n v="2"/>
    <n v="25"/>
    <n v="50"/>
    <n v="50"/>
    <x v="2"/>
    <x v="10"/>
  </r>
  <r>
    <n v="945"/>
    <d v="2023-02-13T00:00:00"/>
    <x v="944"/>
    <x v="0"/>
    <n v="30"/>
    <x v="0"/>
    <n v="1"/>
    <n v="25"/>
    <n v="25"/>
    <n v="25"/>
    <x v="0"/>
    <x v="1"/>
  </r>
  <r>
    <n v="946"/>
    <d v="2023-05-08T00:00:00"/>
    <x v="945"/>
    <x v="0"/>
    <n v="62"/>
    <x v="2"/>
    <n v="4"/>
    <n v="500"/>
    <n v="2000"/>
    <n v="2000"/>
    <x v="3"/>
    <x v="3"/>
  </r>
  <r>
    <n v="947"/>
    <d v="2023-03-02T00:00:00"/>
    <x v="946"/>
    <x v="0"/>
    <n v="50"/>
    <x v="0"/>
    <n v="1"/>
    <n v="300"/>
    <n v="300"/>
    <n v="300"/>
    <x v="1"/>
    <x v="5"/>
  </r>
  <r>
    <n v="948"/>
    <d v="2023-10-13T00:00:00"/>
    <x v="947"/>
    <x v="1"/>
    <n v="23"/>
    <x v="2"/>
    <n v="3"/>
    <n v="25"/>
    <n v="75"/>
    <n v="75"/>
    <x v="4"/>
    <x v="7"/>
  </r>
  <r>
    <n v="949"/>
    <d v="2023-08-02T00:00:00"/>
    <x v="948"/>
    <x v="1"/>
    <n v="41"/>
    <x v="2"/>
    <n v="2"/>
    <n v="25"/>
    <n v="50"/>
    <n v="50"/>
    <x v="2"/>
    <x v="8"/>
  </r>
  <r>
    <n v="950"/>
    <d v="2023-11-07T00:00:00"/>
    <x v="949"/>
    <x v="0"/>
    <n v="36"/>
    <x v="1"/>
    <n v="3"/>
    <n v="300"/>
    <n v="900"/>
    <n v="900"/>
    <x v="2"/>
    <x v="0"/>
  </r>
  <r>
    <n v="951"/>
    <d v="2023-11-02T00:00:00"/>
    <x v="950"/>
    <x v="0"/>
    <n v="33"/>
    <x v="0"/>
    <n v="2"/>
    <n v="50"/>
    <n v="100"/>
    <n v="100"/>
    <x v="0"/>
    <x v="0"/>
  </r>
  <r>
    <n v="952"/>
    <d v="2023-11-13T00:00:00"/>
    <x v="951"/>
    <x v="1"/>
    <n v="57"/>
    <x v="1"/>
    <n v="1"/>
    <n v="25"/>
    <n v="25"/>
    <n v="25"/>
    <x v="3"/>
    <x v="0"/>
  </r>
  <r>
    <n v="953"/>
    <d v="2023-04-26T00:00:00"/>
    <x v="952"/>
    <x v="0"/>
    <n v="45"/>
    <x v="0"/>
    <n v="3"/>
    <n v="30"/>
    <n v="90"/>
    <n v="90"/>
    <x v="1"/>
    <x v="4"/>
  </r>
  <r>
    <n v="954"/>
    <d v="2023-09-25T00:00:00"/>
    <x v="953"/>
    <x v="1"/>
    <n v="50"/>
    <x v="2"/>
    <n v="3"/>
    <n v="300"/>
    <n v="900"/>
    <n v="900"/>
    <x v="1"/>
    <x v="9"/>
  </r>
  <r>
    <n v="955"/>
    <d v="2023-07-14T00:00:00"/>
    <x v="954"/>
    <x v="0"/>
    <n v="58"/>
    <x v="1"/>
    <n v="1"/>
    <n v="25"/>
    <n v="25"/>
    <n v="25"/>
    <x v="3"/>
    <x v="11"/>
  </r>
  <r>
    <n v="956"/>
    <d v="2023-08-19T00:00:00"/>
    <x v="955"/>
    <x v="0"/>
    <n v="30"/>
    <x v="1"/>
    <n v="3"/>
    <n v="500"/>
    <n v="1500"/>
    <n v="1500"/>
    <x v="0"/>
    <x v="8"/>
  </r>
  <r>
    <n v="957"/>
    <d v="2023-08-15T00:00:00"/>
    <x v="956"/>
    <x v="1"/>
    <n v="60"/>
    <x v="2"/>
    <n v="4"/>
    <n v="30"/>
    <n v="120"/>
    <n v="120"/>
    <x v="3"/>
    <x v="8"/>
  </r>
  <r>
    <n v="958"/>
    <d v="2023-06-02T00:00:00"/>
    <x v="957"/>
    <x v="0"/>
    <n v="62"/>
    <x v="2"/>
    <n v="2"/>
    <n v="25"/>
    <n v="50"/>
    <n v="50"/>
    <x v="3"/>
    <x v="10"/>
  </r>
  <r>
    <n v="959"/>
    <d v="2023-10-29T00:00:00"/>
    <x v="958"/>
    <x v="1"/>
    <n v="42"/>
    <x v="2"/>
    <n v="2"/>
    <n v="30"/>
    <n v="60"/>
    <n v="60"/>
    <x v="2"/>
    <x v="7"/>
  </r>
  <r>
    <n v="960"/>
    <d v="2023-08-08T00:00:00"/>
    <x v="959"/>
    <x v="0"/>
    <n v="59"/>
    <x v="1"/>
    <n v="2"/>
    <n v="30"/>
    <n v="60"/>
    <n v="60"/>
    <x v="3"/>
    <x v="8"/>
  </r>
  <r>
    <n v="961"/>
    <d v="2023-06-06T00:00:00"/>
    <x v="960"/>
    <x v="0"/>
    <n v="53"/>
    <x v="0"/>
    <n v="4"/>
    <n v="50"/>
    <n v="200"/>
    <n v="200"/>
    <x v="1"/>
    <x v="10"/>
  </r>
  <r>
    <n v="962"/>
    <d v="2023-10-19T00:00:00"/>
    <x v="961"/>
    <x v="0"/>
    <n v="44"/>
    <x v="1"/>
    <n v="2"/>
    <n v="30"/>
    <n v="60"/>
    <n v="60"/>
    <x v="2"/>
    <x v="7"/>
  </r>
  <r>
    <n v="963"/>
    <d v="2023-11-14T00:00:00"/>
    <x v="962"/>
    <x v="1"/>
    <n v="55"/>
    <x v="0"/>
    <n v="1"/>
    <n v="50"/>
    <n v="50"/>
    <n v="50"/>
    <x v="3"/>
    <x v="0"/>
  </r>
  <r>
    <n v="964"/>
    <d v="2023-01-31T00:00:00"/>
    <x v="963"/>
    <x v="0"/>
    <n v="24"/>
    <x v="1"/>
    <n v="3"/>
    <n v="300"/>
    <n v="900"/>
    <n v="900"/>
    <x v="4"/>
    <x v="2"/>
  </r>
  <r>
    <n v="965"/>
    <d v="2023-11-09T00:00:00"/>
    <x v="964"/>
    <x v="0"/>
    <n v="22"/>
    <x v="1"/>
    <n v="4"/>
    <n v="50"/>
    <n v="200"/>
    <n v="200"/>
    <x v="4"/>
    <x v="0"/>
  </r>
  <r>
    <n v="966"/>
    <d v="2023-02-20T00:00:00"/>
    <x v="965"/>
    <x v="0"/>
    <n v="60"/>
    <x v="2"/>
    <n v="2"/>
    <n v="500"/>
    <n v="1000"/>
    <n v="1000"/>
    <x v="3"/>
    <x v="1"/>
  </r>
  <r>
    <n v="967"/>
    <d v="2023-04-17T00:00:00"/>
    <x v="966"/>
    <x v="0"/>
    <n v="62"/>
    <x v="0"/>
    <n v="1"/>
    <n v="25"/>
    <n v="25"/>
    <n v="25"/>
    <x v="3"/>
    <x v="4"/>
  </r>
  <r>
    <n v="968"/>
    <d v="2023-11-17T00:00:00"/>
    <x v="967"/>
    <x v="1"/>
    <n v="48"/>
    <x v="1"/>
    <n v="3"/>
    <n v="300"/>
    <n v="900"/>
    <n v="900"/>
    <x v="1"/>
    <x v="0"/>
  </r>
  <r>
    <n v="969"/>
    <d v="2023-04-19T00:00:00"/>
    <x v="968"/>
    <x v="1"/>
    <n v="40"/>
    <x v="1"/>
    <n v="3"/>
    <n v="300"/>
    <n v="900"/>
    <n v="900"/>
    <x v="2"/>
    <x v="4"/>
  </r>
  <r>
    <n v="970"/>
    <d v="2023-05-16T00:00:00"/>
    <x v="969"/>
    <x v="0"/>
    <n v="59"/>
    <x v="2"/>
    <n v="4"/>
    <n v="500"/>
    <n v="2000"/>
    <n v="2000"/>
    <x v="3"/>
    <x v="3"/>
  </r>
  <r>
    <n v="971"/>
    <d v="2023-12-05T00:00:00"/>
    <x v="970"/>
    <x v="1"/>
    <n v="27"/>
    <x v="2"/>
    <n v="4"/>
    <n v="50"/>
    <n v="200"/>
    <n v="200"/>
    <x v="0"/>
    <x v="6"/>
  </r>
  <r>
    <n v="972"/>
    <d v="2023-02-11T00:00:00"/>
    <x v="971"/>
    <x v="0"/>
    <n v="49"/>
    <x v="0"/>
    <n v="4"/>
    <n v="25"/>
    <n v="100"/>
    <n v="100"/>
    <x v="1"/>
    <x v="1"/>
  </r>
  <r>
    <n v="973"/>
    <d v="2023-03-22T00:00:00"/>
    <x v="972"/>
    <x v="0"/>
    <n v="60"/>
    <x v="1"/>
    <n v="1"/>
    <n v="50"/>
    <n v="50"/>
    <n v="50"/>
    <x v="3"/>
    <x v="5"/>
  </r>
  <r>
    <n v="974"/>
    <d v="2023-05-03T00:00:00"/>
    <x v="973"/>
    <x v="0"/>
    <n v="47"/>
    <x v="0"/>
    <n v="1"/>
    <n v="30"/>
    <n v="30"/>
    <n v="30"/>
    <x v="1"/>
    <x v="3"/>
  </r>
  <r>
    <n v="975"/>
    <d v="2023-03-30T00:00:00"/>
    <x v="974"/>
    <x v="1"/>
    <n v="56"/>
    <x v="1"/>
    <n v="4"/>
    <n v="50"/>
    <n v="200"/>
    <n v="200"/>
    <x v="3"/>
    <x v="5"/>
  </r>
  <r>
    <n v="976"/>
    <d v="2023-10-10T00:00:00"/>
    <x v="975"/>
    <x v="1"/>
    <n v="48"/>
    <x v="0"/>
    <n v="2"/>
    <n v="300"/>
    <n v="600"/>
    <n v="600"/>
    <x v="1"/>
    <x v="7"/>
  </r>
  <r>
    <n v="977"/>
    <d v="2023-02-08T00:00:00"/>
    <x v="976"/>
    <x v="1"/>
    <n v="35"/>
    <x v="2"/>
    <n v="3"/>
    <n v="25"/>
    <n v="75"/>
    <n v="75"/>
    <x v="2"/>
    <x v="1"/>
  </r>
  <r>
    <n v="978"/>
    <d v="2023-03-22T00:00:00"/>
    <x v="977"/>
    <x v="1"/>
    <n v="53"/>
    <x v="1"/>
    <n v="3"/>
    <n v="50"/>
    <n v="150"/>
    <n v="150"/>
    <x v="1"/>
    <x v="5"/>
  </r>
  <r>
    <n v="979"/>
    <d v="2023-01-02T00:00:00"/>
    <x v="978"/>
    <x v="1"/>
    <n v="19"/>
    <x v="0"/>
    <n v="1"/>
    <n v="25"/>
    <n v="25"/>
    <n v="25"/>
    <x v="4"/>
    <x v="2"/>
  </r>
  <r>
    <n v="980"/>
    <d v="2023-07-29T00:00:00"/>
    <x v="979"/>
    <x v="1"/>
    <n v="31"/>
    <x v="2"/>
    <n v="3"/>
    <n v="25"/>
    <n v="75"/>
    <n v="75"/>
    <x v="0"/>
    <x v="11"/>
  </r>
  <r>
    <n v="981"/>
    <d v="2023-08-19T00:00:00"/>
    <x v="980"/>
    <x v="1"/>
    <n v="30"/>
    <x v="2"/>
    <n v="2"/>
    <n v="30"/>
    <n v="60"/>
    <n v="60"/>
    <x v="0"/>
    <x v="8"/>
  </r>
  <r>
    <n v="982"/>
    <d v="2023-12-19T00:00:00"/>
    <x v="981"/>
    <x v="1"/>
    <n v="46"/>
    <x v="0"/>
    <n v="3"/>
    <n v="30"/>
    <n v="90"/>
    <n v="90"/>
    <x v="1"/>
    <x v="6"/>
  </r>
  <r>
    <n v="983"/>
    <d v="2023-11-01T00:00:00"/>
    <x v="982"/>
    <x v="1"/>
    <n v="29"/>
    <x v="1"/>
    <n v="1"/>
    <n v="300"/>
    <n v="300"/>
    <n v="300"/>
    <x v="0"/>
    <x v="0"/>
  </r>
  <r>
    <n v="984"/>
    <d v="2023-08-29T00:00:00"/>
    <x v="983"/>
    <x v="0"/>
    <n v="56"/>
    <x v="1"/>
    <n v="1"/>
    <n v="500"/>
    <n v="500"/>
    <n v="500"/>
    <x v="3"/>
    <x v="8"/>
  </r>
  <r>
    <n v="985"/>
    <d v="2023-05-30T00:00:00"/>
    <x v="984"/>
    <x v="1"/>
    <n v="19"/>
    <x v="2"/>
    <n v="2"/>
    <n v="25"/>
    <n v="50"/>
    <n v="50"/>
    <x v="4"/>
    <x v="3"/>
  </r>
  <r>
    <n v="986"/>
    <d v="2023-01-17T00:00:00"/>
    <x v="985"/>
    <x v="1"/>
    <n v="49"/>
    <x v="1"/>
    <n v="2"/>
    <n v="500"/>
    <n v="1000"/>
    <n v="1000"/>
    <x v="1"/>
    <x v="2"/>
  </r>
  <r>
    <n v="987"/>
    <d v="2023-04-29T00:00:00"/>
    <x v="986"/>
    <x v="1"/>
    <n v="30"/>
    <x v="1"/>
    <n v="3"/>
    <n v="300"/>
    <n v="900"/>
    <n v="900"/>
    <x v="0"/>
    <x v="4"/>
  </r>
  <r>
    <n v="988"/>
    <d v="2023-05-28T00:00:00"/>
    <x v="987"/>
    <x v="1"/>
    <n v="63"/>
    <x v="1"/>
    <n v="3"/>
    <n v="25"/>
    <n v="75"/>
    <n v="75"/>
    <x v="3"/>
    <x v="3"/>
  </r>
  <r>
    <n v="989"/>
    <d v="2023-12-28T00:00:00"/>
    <x v="988"/>
    <x v="1"/>
    <n v="44"/>
    <x v="2"/>
    <n v="1"/>
    <n v="25"/>
    <n v="25"/>
    <n v="25"/>
    <x v="2"/>
    <x v="6"/>
  </r>
  <r>
    <n v="990"/>
    <d v="2023-05-25T00:00:00"/>
    <x v="989"/>
    <x v="1"/>
    <n v="58"/>
    <x v="0"/>
    <n v="2"/>
    <n v="500"/>
    <n v="1000"/>
    <n v="1000"/>
    <x v="3"/>
    <x v="3"/>
  </r>
  <r>
    <n v="991"/>
    <d v="2023-12-26T00:00:00"/>
    <x v="990"/>
    <x v="1"/>
    <n v="34"/>
    <x v="1"/>
    <n v="2"/>
    <n v="50"/>
    <n v="100"/>
    <n v="100"/>
    <x v="0"/>
    <x v="6"/>
  </r>
  <r>
    <n v="992"/>
    <d v="2023-08-21T00:00:00"/>
    <x v="991"/>
    <x v="1"/>
    <n v="57"/>
    <x v="2"/>
    <n v="2"/>
    <n v="30"/>
    <n v="60"/>
    <n v="60"/>
    <x v="3"/>
    <x v="8"/>
  </r>
  <r>
    <n v="993"/>
    <d v="2023-02-06T00:00:00"/>
    <x v="992"/>
    <x v="1"/>
    <n v="48"/>
    <x v="2"/>
    <n v="3"/>
    <n v="50"/>
    <n v="150"/>
    <n v="150"/>
    <x v="1"/>
    <x v="1"/>
  </r>
  <r>
    <n v="994"/>
    <d v="2023-12-18T00:00:00"/>
    <x v="993"/>
    <x v="1"/>
    <n v="51"/>
    <x v="0"/>
    <n v="2"/>
    <n v="500"/>
    <n v="1000"/>
    <n v="1000"/>
    <x v="1"/>
    <x v="6"/>
  </r>
  <r>
    <n v="995"/>
    <d v="2023-04-30T00:00:00"/>
    <x v="994"/>
    <x v="1"/>
    <n v="41"/>
    <x v="1"/>
    <n v="1"/>
    <n v="30"/>
    <n v="30"/>
    <n v="30"/>
    <x v="2"/>
    <x v="4"/>
  </r>
  <r>
    <n v="996"/>
    <d v="2023-05-16T00:00:00"/>
    <x v="995"/>
    <x v="0"/>
    <n v="62"/>
    <x v="1"/>
    <n v="1"/>
    <n v="50"/>
    <n v="50"/>
    <n v="50"/>
    <x v="3"/>
    <x v="3"/>
  </r>
  <r>
    <n v="997"/>
    <d v="2023-11-17T00:00:00"/>
    <x v="996"/>
    <x v="0"/>
    <n v="52"/>
    <x v="0"/>
    <n v="3"/>
    <n v="30"/>
    <n v="90"/>
    <n v="90"/>
    <x v="1"/>
    <x v="0"/>
  </r>
  <r>
    <n v="998"/>
    <d v="2023-10-29T00:00:00"/>
    <x v="997"/>
    <x v="1"/>
    <n v="23"/>
    <x v="0"/>
    <n v="4"/>
    <n v="25"/>
    <n v="100"/>
    <n v="100"/>
    <x v="4"/>
    <x v="7"/>
  </r>
  <r>
    <n v="999"/>
    <d v="2023-12-05T00:00:00"/>
    <x v="998"/>
    <x v="1"/>
    <n v="36"/>
    <x v="2"/>
    <n v="3"/>
    <n v="50"/>
    <n v="150"/>
    <n v="150"/>
    <x v="2"/>
    <x v="6"/>
  </r>
  <r>
    <n v="1000"/>
    <d v="2023-04-12T00:00:00"/>
    <x v="999"/>
    <x v="0"/>
    <n v="47"/>
    <x v="2"/>
    <n v="4"/>
    <n v="30"/>
    <n v="120"/>
    <n v="120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87F44-4FBA-477C-BECD-ABAC1729FFAE}" name="Revenue by Category" cacheId="4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 rowHeaderCaption="Product Category">
  <location ref="A3:B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3">
    <i>
      <x v="2"/>
    </i>
    <i>
      <x v="1"/>
    </i>
    <i>
      <x/>
    </i>
  </rowItems>
  <colItems count="1">
    <i/>
  </colItems>
  <dataFields count="1">
    <dataField name="Total Revenue" fld="9" baseField="5" baseItem="2" numFmtId="168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97EAB-2E1C-4F36-86BC-72CD2DE94475}" name="Revenue by Gender" cacheId="4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rowHeaderCaption="Gender">
  <location ref="A3:B5" firstHeaderRow="1" firstDataRow="1" firstDataCol="1"/>
  <pivotFields count="12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2">
    <i>
      <x/>
    </i>
    <i>
      <x v="1"/>
    </i>
  </rowItems>
  <colItems count="1">
    <i/>
  </colItems>
  <dataFields count="1">
    <dataField name="Total Revenue" fld="9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C9A5E-D741-4F1B-AA92-53F52E8B3134}" name="Revenue by Age Group" cacheId="4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rowHeaderCaption="Age Group">
  <location ref="A3:B8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0"/>
  </rowFields>
  <rowItems count="5">
    <i>
      <x v="2"/>
    </i>
    <i>
      <x/>
    </i>
    <i>
      <x v="1"/>
    </i>
    <i>
      <x v="3"/>
    </i>
    <i>
      <x v="4"/>
    </i>
  </rowItems>
  <colItems count="1">
    <i/>
  </colItems>
  <dataFields count="1">
    <dataField name="Total Revenue" fld="9" baseField="10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BA489-E360-4D8F-82EF-73A92D336367}" name="Monthly Revenue Trend" cacheId="48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4" rowHeaderCaption="Month">
  <location ref="A3:B1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Total Revenue" fld="9" baseField="11" baseItem="0" numFmtId="168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BF239-97B5-4639-AEE1-18BEE3AC288C}" name="Customer Purchase Behavior" cacheId="4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ID">
  <location ref="A3:C1004" firstHeaderRow="0" firstDataRow="1" firstDataCol="1"/>
  <pivotFields count="12">
    <pivotField showAll="0"/>
    <pivotField numFmtId="14" showAll="0"/>
    <pivotField axis="axisRow" showAll="0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2"/>
  </rowFields>
  <rowItems count="1001">
    <i>
      <x v="789"/>
    </i>
    <i>
      <x v="946"/>
    </i>
    <i>
      <x v="875"/>
    </i>
    <i>
      <x v="700"/>
    </i>
    <i>
      <x v="773"/>
    </i>
    <i>
      <x v="731"/>
    </i>
    <i>
      <x v="832"/>
    </i>
    <i>
      <x v="735"/>
    </i>
    <i>
      <x v="927"/>
    </i>
    <i>
      <x v="742"/>
    </i>
    <i>
      <x v="970"/>
    </i>
    <i>
      <x v="743"/>
    </i>
    <i>
      <x v="808"/>
    </i>
    <i>
      <x v="626"/>
    </i>
    <i>
      <x v="572"/>
    </i>
    <i>
      <x v="547"/>
    </i>
    <i>
      <x v="342"/>
    </i>
    <i>
      <x v="592"/>
    </i>
    <i>
      <x v="412"/>
    </i>
    <i>
      <x v="664"/>
    </i>
    <i>
      <x v="416"/>
    </i>
    <i>
      <x v="561"/>
    </i>
    <i>
      <x v="420"/>
    </i>
    <i>
      <x v="577"/>
    </i>
    <i>
      <x v="447"/>
    </i>
    <i>
      <x v="595"/>
    </i>
    <i>
      <x v="476"/>
    </i>
    <i>
      <x v="634"/>
    </i>
    <i>
      <x v="480"/>
    </i>
    <i>
      <x v="487"/>
    </i>
    <i>
      <x v="503"/>
    </i>
    <i>
      <x v="257"/>
    </i>
    <i>
      <x v="152"/>
    </i>
    <i>
      <x v="124"/>
    </i>
    <i>
      <x v="14"/>
    </i>
    <i>
      <x v="157"/>
    </i>
    <i>
      <x v="64"/>
    </i>
    <i>
      <x v="281"/>
    </i>
    <i>
      <x v="71"/>
    </i>
    <i>
      <x v="139"/>
    </i>
    <i>
      <x v="73"/>
    </i>
    <i>
      <x v="155"/>
    </i>
    <i>
      <x v="88"/>
    </i>
    <i>
      <x v="253"/>
    </i>
    <i>
      <x v="92"/>
    </i>
    <i>
      <x v="269"/>
    </i>
    <i>
      <x v="109"/>
    </i>
    <i>
      <x v="118"/>
    </i>
    <i>
      <x v="166"/>
    </i>
    <i>
      <x v="956"/>
    </i>
    <i>
      <x v="869"/>
    </i>
    <i>
      <x v="843"/>
    </i>
    <i>
      <x v="710"/>
    </i>
    <i>
      <x v="677"/>
    </i>
    <i>
      <x v="711"/>
    </i>
    <i>
      <x v="805"/>
    </i>
    <i>
      <x v="720"/>
    </i>
    <i>
      <x v="859"/>
    </i>
    <i>
      <x v="673"/>
    </i>
    <i>
      <x v="942"/>
    </i>
    <i>
      <x v="676"/>
    </i>
    <i>
      <x v="693"/>
    </i>
    <i>
      <x v="636"/>
    </i>
    <i>
      <x v="580"/>
    </i>
    <i>
      <x v="522"/>
    </i>
    <i>
      <x v="369"/>
    </i>
    <i>
      <x v="608"/>
    </i>
    <i>
      <x v="372"/>
    </i>
    <i>
      <x v="507"/>
    </i>
    <i>
      <x v="385"/>
    </i>
    <i>
      <x v="533"/>
    </i>
    <i>
      <x v="421"/>
    </i>
    <i>
      <x v="356"/>
    </i>
    <i>
      <x v="452"/>
    </i>
    <i>
      <x v="611"/>
    </i>
    <i>
      <x v="463"/>
    </i>
    <i>
      <x v="647"/>
    </i>
    <i>
      <x v="474"/>
    </i>
    <i>
      <x v="506"/>
    </i>
    <i>
      <x v="213"/>
    </i>
    <i>
      <x v="193"/>
    </i>
    <i>
      <x v="280"/>
    </i>
    <i>
      <x v="46"/>
    </i>
    <i>
      <x v="211"/>
    </i>
    <i>
      <x v="53"/>
    </i>
    <i>
      <x v="239"/>
    </i>
    <i>
      <x v="77"/>
    </i>
    <i>
      <x v="169"/>
    </i>
    <i>
      <x v="111"/>
    </i>
    <i>
      <x v="199"/>
    </i>
    <i>
      <x v="112"/>
    </i>
    <i>
      <x v="212"/>
    </i>
    <i>
      <x v="115"/>
    </i>
    <i>
      <x v="215"/>
    </i>
    <i>
      <x v="144"/>
    </i>
    <i>
      <x v="15"/>
    </i>
    <i>
      <x v="12"/>
    </i>
    <i>
      <x v="313"/>
    </i>
    <i>
      <x v="164"/>
    </i>
    <i>
      <x v="862"/>
    </i>
    <i>
      <x v="943"/>
    </i>
    <i>
      <x v="908"/>
    </i>
    <i>
      <x v="726"/>
    </i>
    <i>
      <x v="756"/>
    </i>
    <i>
      <x v="669"/>
    </i>
    <i>
      <x v="757"/>
    </i>
    <i>
      <x v="839"/>
    </i>
    <i>
      <x v="928"/>
    </i>
    <i>
      <x v="729"/>
    </i>
    <i>
      <x v="716"/>
    </i>
    <i>
      <x v="847"/>
    </i>
    <i>
      <x v="682"/>
    </i>
    <i>
      <x v="800"/>
    </i>
    <i>
      <x v="828"/>
    </i>
    <i>
      <x v="553"/>
    </i>
    <i>
      <x v="481"/>
    </i>
    <i>
      <x v="614"/>
    </i>
    <i>
      <x v="405"/>
    </i>
    <i>
      <x v="484"/>
    </i>
    <i>
      <x v="368"/>
    </i>
    <i>
      <x v="587"/>
    </i>
    <i>
      <x v="424"/>
    </i>
    <i>
      <x v="663"/>
    </i>
    <i>
      <x v="431"/>
    </i>
    <i>
      <x v="482"/>
    </i>
    <i>
      <x v="437"/>
    </i>
    <i>
      <x v="361"/>
    </i>
    <i>
      <x v="441"/>
    </i>
    <i>
      <x v="559"/>
    </i>
    <i>
      <x v="340"/>
    </i>
    <i>
      <x v="597"/>
    </i>
    <i>
      <x v="459"/>
    </i>
    <i>
      <x v="648"/>
    </i>
    <i>
      <x v="462"/>
    </i>
    <i>
      <x v="479"/>
    </i>
    <i>
      <x v="524"/>
    </i>
    <i>
      <x v="308"/>
    </i>
    <i>
      <x v="292"/>
    </i>
    <i>
      <x v="333"/>
    </i>
    <i>
      <x v="57"/>
    </i>
    <i>
      <x v="298"/>
    </i>
    <i>
      <x v="66"/>
    </i>
    <i>
      <x v="107"/>
    </i>
    <i>
      <x v="202"/>
    </i>
    <i>
      <x v="45"/>
    </i>
    <i>
      <x v="142"/>
    </i>
    <i>
      <x v="296"/>
    </i>
    <i>
      <x v="30"/>
    </i>
    <i>
      <x v="181"/>
    </i>
    <i>
      <x v="98"/>
    </i>
    <i>
      <x v="320"/>
    </i>
    <i>
      <x v="165"/>
    </i>
    <i>
      <x v="332"/>
    </i>
    <i>
      <x v="853"/>
    </i>
    <i>
      <x v="966"/>
    </i>
    <i>
      <x v="880"/>
    </i>
    <i>
      <x v="816"/>
    </i>
    <i>
      <x v="850"/>
    </i>
    <i>
      <x v="990"/>
    </i>
    <i>
      <x v="684"/>
    </i>
    <i>
      <x v="994"/>
    </i>
    <i>
      <x v="779"/>
    </i>
    <i>
      <x v="683"/>
    </i>
    <i>
      <x v="986"/>
    </i>
    <i>
      <x v="732"/>
    </i>
    <i>
      <x v="709"/>
    </i>
    <i>
      <x v="393"/>
    </i>
    <i>
      <x v="352"/>
    </i>
    <i>
      <x v="662"/>
    </i>
    <i>
      <x v="453"/>
    </i>
    <i>
      <x v="600"/>
    </i>
    <i>
      <x v="461"/>
    </i>
    <i>
      <x v="395"/>
    </i>
    <i>
      <x v="470"/>
    </i>
    <i>
      <x v="432"/>
    </i>
    <i>
      <x v="418"/>
    </i>
    <i>
      <x v="589"/>
    </i>
    <i>
      <x v="404"/>
    </i>
    <i>
      <x v="605"/>
    </i>
    <i>
      <x v="346"/>
    </i>
    <i>
      <x v="621"/>
    </i>
    <i>
      <x v="382"/>
    </i>
    <i>
      <x v="660"/>
    </i>
    <i>
      <x v="534"/>
    </i>
    <i>
      <x v="297"/>
    </i>
    <i>
      <x v="1"/>
    </i>
    <i>
      <x v="235"/>
    </i>
    <i>
      <x v="104"/>
    </i>
    <i>
      <x v="274"/>
    </i>
    <i>
      <x v="117"/>
    </i>
    <i>
      <x v="93"/>
    </i>
    <i>
      <x v="137"/>
    </i>
    <i>
      <x v="237"/>
    </i>
    <i>
      <x v="153"/>
    </i>
    <i>
      <x v="256"/>
    </i>
    <i>
      <x v="161"/>
    </i>
    <i>
      <x v="275"/>
    </i>
    <i>
      <x v="48"/>
    </i>
    <i>
      <x v="299"/>
    </i>
    <i>
      <x v="25"/>
    </i>
    <i>
      <x v="203"/>
    </i>
    <i>
      <x v="96"/>
    </i>
    <i>
      <x v="950"/>
    </i>
    <i>
      <x v="923"/>
    </i>
    <i>
      <x v="968"/>
    </i>
    <i>
      <x v="722"/>
    </i>
    <i>
      <x v="766"/>
    </i>
    <i>
      <x v="708"/>
    </i>
    <i>
      <x v="782"/>
    </i>
    <i>
      <x v="727"/>
    </i>
    <i>
      <x v="911"/>
    </i>
    <i>
      <x v="806"/>
    </i>
    <i>
      <x v="690"/>
    </i>
    <i>
      <x v="678"/>
    </i>
    <i>
      <x v="680"/>
    </i>
    <i>
      <x v="987"/>
    </i>
    <i>
      <x v="954"/>
    </i>
    <i>
      <x v="886"/>
    </i>
    <i>
      <x v="964"/>
    </i>
    <i>
      <x v="891"/>
    </i>
    <i>
      <x v="969"/>
    </i>
    <i>
      <x v="827"/>
    </i>
    <i>
      <x v="788"/>
    </i>
    <i>
      <x v="624"/>
    </i>
    <i>
      <x v="334"/>
    </i>
    <i>
      <x v="491"/>
    </i>
    <i>
      <x v="550"/>
    </i>
    <i>
      <x v="509"/>
    </i>
    <i>
      <x v="409"/>
    </i>
    <i>
      <x v="457"/>
    </i>
    <i>
      <x v="472"/>
    </i>
    <i>
      <x v="590"/>
    </i>
    <i>
      <x v="435"/>
    </i>
    <i>
      <x v="417"/>
    </i>
    <i>
      <x v="488"/>
    </i>
    <i>
      <x v="515"/>
    </i>
    <i>
      <x v="567"/>
    </i>
    <i>
      <x v="635"/>
    </i>
    <i>
      <x v="582"/>
    </i>
    <i>
      <x v="430"/>
    </i>
    <i>
      <x v="407"/>
    </i>
    <i>
      <x v="540"/>
    </i>
    <i>
      <x v="551"/>
    </i>
    <i>
      <x v="243"/>
    </i>
    <i>
      <x v="196"/>
    </i>
    <i>
      <x v="265"/>
    </i>
    <i>
      <x v="133"/>
    </i>
    <i>
      <x v="29"/>
    </i>
    <i>
      <x v="154"/>
    </i>
    <i>
      <x v="19"/>
    </i>
    <i>
      <x v="34"/>
    </i>
    <i>
      <x v="183"/>
    </i>
    <i>
      <x v="47"/>
    </i>
    <i>
      <x v="198"/>
    </i>
    <i>
      <x v="110"/>
    </i>
    <i>
      <x v="323"/>
    </i>
    <i>
      <x v="35"/>
    </i>
    <i>
      <x v="248"/>
    </i>
    <i>
      <x v="171"/>
    </i>
    <i>
      <x v="264"/>
    </i>
    <i>
      <x v="180"/>
    </i>
    <i>
      <x v="295"/>
    </i>
    <i>
      <x v="55"/>
    </i>
    <i>
      <x v="41"/>
    </i>
    <i>
      <x v="976"/>
    </i>
    <i>
      <x v="838"/>
    </i>
    <i>
      <x v="842"/>
    </i>
    <i>
      <x v="702"/>
    </i>
    <i>
      <x v="899"/>
    </i>
    <i>
      <x v="398"/>
    </i>
    <i>
      <x v="440"/>
    </i>
    <i>
      <x v="594"/>
    </i>
    <i>
      <x v="348"/>
    </i>
    <i>
      <x v="380"/>
    </i>
    <i>
      <x v="496"/>
    </i>
    <i>
      <x v="649"/>
    </i>
    <i>
      <x v="403"/>
    </i>
    <i>
      <x v="392"/>
    </i>
    <i>
      <x v="402"/>
    </i>
    <i>
      <x v="610"/>
    </i>
    <i>
      <x v="464"/>
    </i>
    <i>
      <x v="637"/>
    </i>
    <i>
      <x v="508"/>
    </i>
    <i>
      <x v="443"/>
    </i>
    <i>
      <x v="386"/>
    </i>
    <i>
      <x v="373"/>
    </i>
    <i>
      <x v="543"/>
    </i>
    <i>
      <x v="290"/>
    </i>
    <i>
      <x v="95"/>
    </i>
    <i>
      <x v="129"/>
    </i>
    <i>
      <x v="233"/>
    </i>
    <i>
      <x v="131"/>
    </i>
    <i>
      <x v="158"/>
    </i>
    <i>
      <x v="291"/>
    </i>
    <i>
      <x v="101"/>
    </i>
    <i>
      <x v="302"/>
    </i>
    <i>
      <x v="8"/>
    </i>
    <i>
      <x v="136"/>
    </i>
    <i>
      <x v="221"/>
    </i>
    <i>
      <x v="697"/>
    </i>
    <i>
      <x v="864"/>
    </i>
    <i>
      <x v="717"/>
    </i>
    <i>
      <x v="714"/>
    </i>
    <i>
      <x v="721"/>
    </i>
    <i>
      <x v="760"/>
    </i>
    <i>
      <x v="984"/>
    </i>
    <i>
      <x v="934"/>
    </i>
    <i>
      <x v="707"/>
    </i>
    <i>
      <x v="937"/>
    </i>
    <i>
      <x v="784"/>
    </i>
    <i>
      <x v="761"/>
    </i>
    <i>
      <x v="867"/>
    </i>
    <i>
      <x v="814"/>
    </i>
    <i>
      <x v="914"/>
    </i>
    <i>
      <x v="883"/>
    </i>
    <i>
      <x v="781"/>
    </i>
    <i>
      <x v="845"/>
    </i>
    <i>
      <x v="904"/>
    </i>
    <i>
      <x v="818"/>
    </i>
    <i>
      <x v="541"/>
    </i>
    <i>
      <x v="337"/>
    </i>
    <i>
      <x v="364"/>
    </i>
    <i>
      <x v="570"/>
    </i>
    <i>
      <x v="355"/>
    </i>
    <i>
      <x v="353"/>
    </i>
    <i>
      <x v="539"/>
    </i>
    <i>
      <x v="531"/>
    </i>
    <i>
      <x v="638"/>
    </i>
    <i>
      <x v="394"/>
    </i>
    <i>
      <x v="384"/>
    </i>
    <i>
      <x v="612"/>
    </i>
    <i>
      <x v="655"/>
    </i>
    <i>
      <x v="408"/>
    </i>
    <i>
      <x v="537"/>
    </i>
    <i>
      <x v="667"/>
    </i>
    <i>
      <x v="105"/>
    </i>
    <i>
      <x v="319"/>
    </i>
    <i>
      <x v="90"/>
    </i>
    <i>
      <x v="283"/>
    </i>
    <i>
      <x v="322"/>
    </i>
    <i>
      <x v="238"/>
    </i>
    <i>
      <x v="27"/>
    </i>
    <i>
      <x v="254"/>
    </i>
    <i>
      <x v="130"/>
    </i>
    <i>
      <x v="220"/>
    </i>
    <i>
      <x v="20"/>
    </i>
    <i>
      <x v="128"/>
    </i>
    <i>
      <x v="87"/>
    </i>
    <i>
      <x v="279"/>
    </i>
    <i>
      <x v="3"/>
    </i>
    <i>
      <x v="821"/>
    </i>
    <i>
      <x v="865"/>
    </i>
    <i>
      <x v="698"/>
    </i>
    <i>
      <x v="905"/>
    </i>
    <i>
      <x v="687"/>
    </i>
    <i>
      <x v="909"/>
    </i>
    <i>
      <x v="983"/>
    </i>
    <i>
      <x v="794"/>
    </i>
    <i>
      <x v="725"/>
    </i>
    <i>
      <x v="795"/>
    </i>
    <i>
      <x v="868"/>
    </i>
    <i>
      <x v="925"/>
    </i>
    <i>
      <x v="783"/>
    </i>
    <i>
      <x v="852"/>
    </i>
    <i>
      <x v="881"/>
    </i>
    <i>
      <x v="939"/>
    </i>
    <i>
      <x v="826"/>
    </i>
    <i>
      <x v="947"/>
    </i>
    <i>
      <x v="741"/>
    </i>
    <i>
      <x v="674"/>
    </i>
    <i>
      <x v="568"/>
    </i>
    <i>
      <x v="596"/>
    </i>
    <i>
      <x v="378"/>
    </i>
    <i>
      <x v="555"/>
    </i>
    <i>
      <x v="365"/>
    </i>
    <i>
      <x v="445"/>
    </i>
    <i>
      <x v="625"/>
    </i>
    <i>
      <x v="602"/>
    </i>
    <i>
      <x v="358"/>
    </i>
    <i>
      <x v="641"/>
    </i>
    <i>
      <x v="401"/>
    </i>
    <i>
      <x v="523"/>
    </i>
    <i>
      <x v="514"/>
    </i>
    <i>
      <x v="252"/>
    </i>
    <i>
      <x v="67"/>
    </i>
    <i>
      <x v="78"/>
    </i>
    <i>
      <x v="168"/>
    </i>
    <i>
      <x v="42"/>
    </i>
    <i>
      <x v="174"/>
    </i>
    <i>
      <x v="51"/>
    </i>
    <i>
      <x v="179"/>
    </i>
    <i>
      <x v="147"/>
    </i>
    <i>
      <x v="240"/>
    </i>
    <i>
      <x v="69"/>
    </i>
    <i>
      <x v="23"/>
    </i>
    <i>
      <x v="270"/>
    </i>
    <i>
      <x v="903"/>
    </i>
    <i>
      <x v="723"/>
    </i>
    <i>
      <x v="740"/>
    </i>
    <i>
      <x v="860"/>
    </i>
    <i>
      <x v="971"/>
    </i>
    <i>
      <x v="917"/>
    </i>
    <i>
      <x v="686"/>
    </i>
    <i>
      <x v="696"/>
    </i>
    <i>
      <x v="930"/>
    </i>
    <i>
      <x v="835"/>
    </i>
    <i>
      <x v="936"/>
    </i>
    <i>
      <x v="801"/>
    </i>
    <i>
      <x v="975"/>
    </i>
    <i>
      <x v="961"/>
    </i>
    <i>
      <x v="938"/>
    </i>
    <i>
      <x v="817"/>
    </i>
    <i>
      <x v="785"/>
    </i>
    <i>
      <x v="965"/>
    </i>
    <i>
      <x v="765"/>
    </i>
    <i>
      <x v="807"/>
    </i>
    <i>
      <x v="820"/>
    </i>
    <i>
      <x v="833"/>
    </i>
    <i>
      <x v="341"/>
    </i>
    <i>
      <x v="411"/>
    </i>
    <i>
      <x v="428"/>
    </i>
    <i>
      <x v="377"/>
    </i>
    <i>
      <x v="628"/>
    </i>
    <i>
      <x v="546"/>
    </i>
    <i>
      <x v="584"/>
    </i>
    <i>
      <x v="400"/>
    </i>
    <i>
      <x v="510"/>
    </i>
    <i>
      <x v="449"/>
    </i>
    <i>
      <x v="433"/>
    </i>
    <i>
      <x v="569"/>
    </i>
    <i>
      <x v="639"/>
    </i>
    <i>
      <x v="494"/>
    </i>
    <i>
      <x v="354"/>
    </i>
    <i>
      <x v="604"/>
    </i>
    <i>
      <x v="208"/>
    </i>
    <i>
      <x v="186"/>
    </i>
    <i>
      <x v="74"/>
    </i>
    <i>
      <x v="259"/>
    </i>
    <i>
      <x v="60"/>
    </i>
    <i>
      <x v="132"/>
    </i>
    <i>
      <x v="209"/>
    </i>
    <i>
      <x v="194"/>
    </i>
    <i>
      <x v="184"/>
    </i>
    <i>
      <x v="217"/>
    </i>
    <i>
      <x v="81"/>
    </i>
    <i>
      <x v="121"/>
    </i>
    <i>
      <x v="37"/>
    </i>
    <i>
      <x v="138"/>
    </i>
    <i>
      <x v="300"/>
    </i>
    <i>
      <x v="251"/>
    </i>
    <i>
      <x v="210"/>
    </i>
    <i>
      <x v="282"/>
    </i>
    <i>
      <x v="159"/>
    </i>
    <i>
      <x v="197"/>
    </i>
    <i>
      <x v="330"/>
    </i>
    <i>
      <x v="284"/>
    </i>
    <i>
      <x v="146"/>
    </i>
    <i>
      <x v="9"/>
    </i>
    <i>
      <x v="978"/>
    </i>
    <i>
      <x v="777"/>
    </i>
    <i>
      <x v="910"/>
    </i>
    <i>
      <x v="813"/>
    </i>
    <i>
      <x v="724"/>
    </i>
    <i>
      <x v="822"/>
    </i>
    <i>
      <x v="695"/>
    </i>
    <i>
      <x v="830"/>
    </i>
    <i>
      <x v="912"/>
    </i>
    <i>
      <x v="668"/>
    </i>
    <i>
      <x v="671"/>
    </i>
    <i>
      <x v="748"/>
    </i>
    <i>
      <x v="728"/>
    </i>
    <i>
      <x v="844"/>
    </i>
    <i>
      <x v="993"/>
    </i>
    <i>
      <x v="999"/>
    </i>
    <i>
      <x v="490"/>
    </i>
    <i>
      <x v="467"/>
    </i>
    <i>
      <x v="465"/>
    </i>
    <i>
      <x v="576"/>
    </i>
    <i>
      <x v="471"/>
    </i>
    <i>
      <x v="554"/>
    </i>
    <i>
      <x v="538"/>
    </i>
    <i>
      <x v="502"/>
    </i>
    <i>
      <x v="529"/>
    </i>
    <i>
      <x v="504"/>
    </i>
    <i>
      <x v="336"/>
    </i>
    <i>
      <x v="426"/>
    </i>
    <i>
      <x v="651"/>
    </i>
    <i>
      <x v="666"/>
    </i>
    <i>
      <x v="623"/>
    </i>
    <i>
      <x v="324"/>
    </i>
    <i>
      <x v="231"/>
    </i>
    <i>
      <x v="163"/>
    </i>
    <i>
      <x v="327"/>
    </i>
    <i>
      <x v="59"/>
    </i>
    <i>
      <x v="84"/>
    </i>
    <i>
      <x v="119"/>
    </i>
    <i>
      <x v="33"/>
    </i>
    <i>
      <x v="200"/>
    </i>
    <i>
      <x/>
    </i>
    <i>
      <x v="167"/>
    </i>
    <i>
      <x v="796"/>
    </i>
    <i>
      <x v="769"/>
    </i>
    <i>
      <x v="870"/>
    </i>
    <i>
      <x v="895"/>
    </i>
    <i>
      <x v="957"/>
    </i>
    <i>
      <x v="931"/>
    </i>
    <i>
      <x v="856"/>
    </i>
    <i>
      <x v="824"/>
    </i>
    <i>
      <x v="876"/>
    </i>
    <i>
      <x v="699"/>
    </i>
    <i>
      <x v="885"/>
    </i>
    <i>
      <x v="645"/>
    </i>
    <i>
      <x v="425"/>
    </i>
    <i>
      <x v="578"/>
    </i>
    <i>
      <x v="598"/>
    </i>
    <i>
      <x v="436"/>
    </i>
    <i>
      <x v="633"/>
    </i>
    <i>
      <x v="532"/>
    </i>
    <i>
      <x v="497"/>
    </i>
    <i>
      <x v="335"/>
    </i>
    <i>
      <x v="530"/>
    </i>
    <i>
      <x v="536"/>
    </i>
    <i>
      <x v="640"/>
    </i>
    <i>
      <x v="521"/>
    </i>
    <i>
      <x v="477"/>
    </i>
    <i>
      <x v="519"/>
    </i>
    <i>
      <x v="314"/>
    </i>
    <i>
      <x v="222"/>
    </i>
    <i>
      <x v="22"/>
    </i>
    <i>
      <x v="38"/>
    </i>
    <i>
      <x v="173"/>
    </i>
    <i>
      <x v="150"/>
    </i>
    <i>
      <x v="122"/>
    </i>
    <i>
      <x v="262"/>
    </i>
    <i>
      <x v="100"/>
    </i>
    <i>
      <x v="54"/>
    </i>
    <i>
      <x v="301"/>
    </i>
    <i>
      <x v="271"/>
    </i>
    <i>
      <x v="312"/>
    </i>
    <i>
      <x v="13"/>
    </i>
    <i>
      <x v="182"/>
    </i>
    <i>
      <x v="91"/>
    </i>
    <i>
      <x v="288"/>
    </i>
    <i>
      <x v="803"/>
    </i>
    <i>
      <x v="754"/>
    </i>
    <i>
      <x v="932"/>
    </i>
    <i>
      <x v="689"/>
    </i>
    <i>
      <x v="799"/>
    </i>
    <i>
      <x v="715"/>
    </i>
    <i>
      <x v="873"/>
    </i>
    <i>
      <x v="809"/>
    </i>
    <i>
      <x v="858"/>
    </i>
    <i>
      <x v="887"/>
    </i>
    <i>
      <x v="692"/>
    </i>
    <i>
      <x v="888"/>
    </i>
    <i>
      <x v="703"/>
    </i>
    <i>
      <x v="819"/>
    </i>
    <i>
      <x v="991"/>
    </i>
    <i>
      <x v="998"/>
    </i>
    <i>
      <x v="752"/>
    </i>
    <i>
      <x v="831"/>
    </i>
    <i>
      <x v="736"/>
    </i>
    <i>
      <x v="738"/>
    </i>
    <i>
      <x v="786"/>
    </i>
    <i>
      <x v="810"/>
    </i>
    <i>
      <x v="951"/>
    </i>
    <i>
      <x v="745"/>
    </i>
    <i>
      <x v="758"/>
    </i>
    <i>
      <x v="841"/>
    </i>
    <i>
      <x v="759"/>
    </i>
    <i>
      <x v="706"/>
    </i>
    <i>
      <x v="972"/>
    </i>
    <i>
      <x v="775"/>
    </i>
    <i>
      <x v="672"/>
    </i>
    <i>
      <x v="823"/>
    </i>
    <i>
      <x v="688"/>
    </i>
    <i>
      <x v="924"/>
    </i>
    <i>
      <x v="778"/>
    </i>
    <i>
      <x v="897"/>
    </i>
    <i>
      <x v="517"/>
    </i>
    <i>
      <x v="575"/>
    </i>
    <i>
      <x v="599"/>
    </i>
    <i>
      <x v="591"/>
    </i>
    <i>
      <x v="652"/>
    </i>
    <i>
      <x v="616"/>
    </i>
    <i>
      <x v="406"/>
    </i>
    <i>
      <x v="619"/>
    </i>
    <i>
      <x v="642"/>
    </i>
    <i>
      <x v="520"/>
    </i>
    <i>
      <x v="410"/>
    </i>
    <i>
      <x v="498"/>
    </i>
    <i>
      <x v="516"/>
    </i>
    <i>
      <x v="583"/>
    </i>
    <i>
      <x v="390"/>
    </i>
    <i>
      <x v="564"/>
    </i>
    <i>
      <x v="492"/>
    </i>
    <i>
      <x v="458"/>
    </i>
    <i>
      <x v="381"/>
    </i>
    <i>
      <x v="549"/>
    </i>
    <i>
      <x v="511"/>
    </i>
    <i>
      <x v="630"/>
    </i>
    <i>
      <x v="366"/>
    </i>
    <i>
      <x v="632"/>
    </i>
    <i>
      <x v="609"/>
    </i>
    <i>
      <x v="338"/>
    </i>
    <i>
      <x v="455"/>
    </i>
    <i>
      <x v="360"/>
    </i>
    <i>
      <x v="661"/>
    </i>
    <i>
      <x v="466"/>
    </i>
    <i>
      <x v="414"/>
    </i>
    <i>
      <x v="526"/>
    </i>
    <i>
      <x v="442"/>
    </i>
    <i>
      <x v="615"/>
    </i>
    <i>
      <x v="513"/>
    </i>
    <i>
      <x v="500"/>
    </i>
    <i>
      <x v="328"/>
    </i>
    <i>
      <x v="52"/>
    </i>
    <i>
      <x v="227"/>
    </i>
    <i>
      <x v="278"/>
    </i>
    <i>
      <x v="61"/>
    </i>
    <i>
      <x v="70"/>
    </i>
    <i>
      <x v="277"/>
    </i>
    <i>
      <x v="160"/>
    </i>
    <i>
      <x v="311"/>
    </i>
    <i>
      <x v="114"/>
    </i>
    <i>
      <x v="176"/>
    </i>
    <i>
      <x v="32"/>
    </i>
    <i>
      <x v="10"/>
    </i>
    <i>
      <x v="125"/>
    </i>
    <i>
      <x v="244"/>
    </i>
    <i>
      <x v="287"/>
    </i>
    <i>
      <x v="187"/>
    </i>
    <i>
      <x v="82"/>
    </i>
    <i>
      <x v="272"/>
    </i>
    <i>
      <x v="4"/>
    </i>
    <i>
      <x v="86"/>
    </i>
    <i>
      <x v="97"/>
    </i>
    <i>
      <x v="192"/>
    </i>
    <i>
      <x v="21"/>
    </i>
    <i>
      <x v="177"/>
    </i>
    <i>
      <x v="216"/>
    </i>
    <i>
      <x v="7"/>
    </i>
    <i>
      <x v="16"/>
    </i>
    <i>
      <x v="276"/>
    </i>
    <i>
      <x v="75"/>
    </i>
    <i>
      <x v="329"/>
    </i>
    <i>
      <x v="76"/>
    </i>
    <i>
      <x v="63"/>
    </i>
    <i>
      <x v="156"/>
    </i>
    <i>
      <x v="225"/>
    </i>
    <i>
      <x v="175"/>
    </i>
    <i>
      <x v="953"/>
    </i>
    <i>
      <x v="776"/>
    </i>
    <i>
      <x v="913"/>
    </i>
    <i>
      <x v="861"/>
    </i>
    <i>
      <x v="704"/>
    </i>
    <i>
      <x v="691"/>
    </i>
    <i>
      <x v="746"/>
    </i>
    <i>
      <x v="829"/>
    </i>
    <i>
      <x v="915"/>
    </i>
    <i>
      <x v="997"/>
    </i>
    <i>
      <x v="982"/>
    </i>
    <i>
      <x v="898"/>
    </i>
    <i>
      <x v="918"/>
    </i>
    <i>
      <x v="679"/>
    </i>
    <i>
      <x v="837"/>
    </i>
    <i>
      <x v="422"/>
    </i>
    <i>
      <x v="646"/>
    </i>
    <i>
      <x v="535"/>
    </i>
    <i>
      <x v="444"/>
    </i>
    <i>
      <x v="419"/>
    </i>
    <i>
      <x v="351"/>
    </i>
    <i>
      <x v="631"/>
    </i>
    <i>
      <x v="383"/>
    </i>
    <i>
      <x v="643"/>
    </i>
    <i>
      <x v="603"/>
    </i>
    <i>
      <x v="656"/>
    </i>
    <i>
      <x v="613"/>
    </i>
    <i>
      <x v="557"/>
    </i>
    <i>
      <x v="331"/>
    </i>
    <i>
      <x v="303"/>
    </i>
    <i>
      <x v="293"/>
    </i>
    <i>
      <x v="229"/>
    </i>
    <i>
      <x v="218"/>
    </i>
    <i>
      <x v="83"/>
    </i>
    <i>
      <x v="72"/>
    </i>
    <i>
      <x v="85"/>
    </i>
    <i>
      <x v="294"/>
    </i>
    <i>
      <x v="245"/>
    </i>
    <i>
      <x v="317"/>
    </i>
    <i>
      <x v="126"/>
    </i>
    <i>
      <x v="219"/>
    </i>
    <i>
      <x v="267"/>
    </i>
    <i>
      <x v="190"/>
    </i>
    <i>
      <x v="31"/>
    </i>
    <i>
      <x v="920"/>
    </i>
    <i>
      <x v="948"/>
    </i>
    <i>
      <x v="718"/>
    </i>
    <i>
      <x v="872"/>
    </i>
    <i>
      <x v="988"/>
    </i>
    <i>
      <x v="797"/>
    </i>
    <i>
      <x v="755"/>
    </i>
    <i>
      <x v="815"/>
    </i>
    <i>
      <x v="980"/>
    </i>
    <i>
      <x v="767"/>
    </i>
    <i>
      <x v="848"/>
    </i>
    <i>
      <x v="750"/>
    </i>
    <i>
      <x v="929"/>
    </i>
    <i>
      <x v="812"/>
    </i>
    <i>
      <x v="921"/>
    </i>
    <i>
      <x v="713"/>
    </i>
    <i>
      <x v="977"/>
    </i>
    <i>
      <x v="768"/>
    </i>
    <i>
      <x v="469"/>
    </i>
    <i>
      <x v="654"/>
    </i>
    <i>
      <x v="644"/>
    </i>
    <i>
      <x v="374"/>
    </i>
    <i>
      <x v="552"/>
    </i>
    <i>
      <x v="607"/>
    </i>
    <i>
      <x v="475"/>
    </i>
    <i>
      <x v="413"/>
    </i>
    <i>
      <x v="653"/>
    </i>
    <i>
      <x v="439"/>
    </i>
    <i>
      <x v="357"/>
    </i>
    <i>
      <x v="620"/>
    </i>
    <i>
      <x v="622"/>
    </i>
    <i>
      <x v="350"/>
    </i>
    <i>
      <x v="145"/>
    </i>
    <i>
      <x v="188"/>
    </i>
    <i>
      <x v="149"/>
    </i>
    <i>
      <x v="49"/>
    </i>
    <i>
      <x v="108"/>
    </i>
    <i>
      <x v="241"/>
    </i>
    <i>
      <x v="36"/>
    </i>
    <i>
      <x v="50"/>
    </i>
    <i>
      <x v="326"/>
    </i>
    <i>
      <x v="11"/>
    </i>
    <i>
      <x v="68"/>
    </i>
    <i>
      <x v="719"/>
    </i>
    <i>
      <x v="960"/>
    </i>
    <i>
      <x v="681"/>
    </i>
    <i>
      <x v="962"/>
    </i>
    <i>
      <x v="871"/>
    </i>
    <i>
      <x v="675"/>
    </i>
    <i>
      <x v="992"/>
    </i>
    <i>
      <x v="981"/>
    </i>
    <i>
      <x v="959"/>
    </i>
    <i>
      <x v="884"/>
    </i>
    <i>
      <x v="701"/>
    </i>
    <i>
      <x v="834"/>
    </i>
    <i>
      <x v="900"/>
    </i>
    <i>
      <x v="528"/>
    </i>
    <i>
      <x v="456"/>
    </i>
    <i>
      <x v="478"/>
    </i>
    <i>
      <x v="581"/>
    </i>
    <i>
      <x v="588"/>
    </i>
    <i>
      <x v="593"/>
    </i>
    <i>
      <x v="563"/>
    </i>
    <i>
      <x v="499"/>
    </i>
    <i>
      <x v="548"/>
    </i>
    <i>
      <x v="370"/>
    </i>
    <i>
      <x v="495"/>
    </i>
    <i>
      <x v="399"/>
    </i>
    <i>
      <x v="448"/>
    </i>
    <i>
      <x v="501"/>
    </i>
    <i>
      <x v="565"/>
    </i>
    <i>
      <x v="573"/>
    </i>
    <i>
      <x v="415"/>
    </i>
    <i>
      <x v="79"/>
    </i>
    <i>
      <x v="178"/>
    </i>
    <i>
      <x v="315"/>
    </i>
    <i>
      <x v="247"/>
    </i>
    <i>
      <x v="266"/>
    </i>
    <i>
      <x v="94"/>
    </i>
    <i>
      <x v="263"/>
    </i>
    <i>
      <x v="123"/>
    </i>
    <i>
      <x v="148"/>
    </i>
    <i>
      <x v="260"/>
    </i>
    <i>
      <x v="214"/>
    </i>
    <i>
      <x v="289"/>
    </i>
    <i>
      <x v="228"/>
    </i>
    <i>
      <x v="304"/>
    </i>
    <i>
      <x v="162"/>
    </i>
    <i>
      <x v="780"/>
    </i>
    <i>
      <x v="866"/>
    </i>
    <i>
      <x v="935"/>
    </i>
    <i>
      <x v="941"/>
    </i>
    <i>
      <x v="890"/>
    </i>
    <i>
      <x v="811"/>
    </i>
    <i>
      <x v="705"/>
    </i>
    <i>
      <x v="944"/>
    </i>
    <i>
      <x v="840"/>
    </i>
    <i>
      <x v="762"/>
    </i>
    <i>
      <x v="973"/>
    </i>
    <i>
      <x v="771"/>
    </i>
    <i>
      <x v="892"/>
    </i>
    <i>
      <x v="949"/>
    </i>
    <i>
      <x v="985"/>
    </i>
    <i>
      <x v="906"/>
    </i>
    <i>
      <x v="836"/>
    </i>
    <i>
      <x v="849"/>
    </i>
    <i>
      <x v="996"/>
    </i>
    <i>
      <x v="792"/>
    </i>
    <i>
      <x v="919"/>
    </i>
    <i>
      <x v="763"/>
    </i>
    <i>
      <x v="889"/>
    </i>
    <i>
      <x v="958"/>
    </i>
    <i>
      <x v="922"/>
    </i>
    <i>
      <x v="774"/>
    </i>
    <i>
      <x v="737"/>
    </i>
    <i>
      <x v="882"/>
    </i>
    <i>
      <x v="893"/>
    </i>
    <i>
      <x v="751"/>
    </i>
    <i>
      <x v="730"/>
    </i>
    <i>
      <x v="863"/>
    </i>
    <i>
      <x v="854"/>
    </i>
    <i>
      <x v="963"/>
    </i>
    <i>
      <x v="896"/>
    </i>
    <i>
      <x v="712"/>
    </i>
    <i>
      <x v="857"/>
    </i>
    <i>
      <x v="916"/>
    </i>
    <i>
      <x v="846"/>
    </i>
    <i>
      <x v="694"/>
    </i>
    <i>
      <x v="685"/>
    </i>
    <i>
      <x v="798"/>
    </i>
    <i>
      <x v="902"/>
    </i>
    <i>
      <x v="851"/>
    </i>
    <i>
      <x v="770"/>
    </i>
    <i>
      <x v="493"/>
    </i>
    <i>
      <x v="618"/>
    </i>
    <i>
      <x v="560"/>
    </i>
    <i>
      <x v="434"/>
    </i>
    <i>
      <x v="505"/>
    </i>
    <i>
      <x v="367"/>
    </i>
    <i>
      <x v="339"/>
    </i>
    <i>
      <x v="391"/>
    </i>
    <i>
      <x v="574"/>
    </i>
    <i>
      <x v="627"/>
    </i>
    <i>
      <x v="349"/>
    </i>
    <i>
      <x v="359"/>
    </i>
    <i>
      <x v="556"/>
    </i>
    <i>
      <x v="629"/>
    </i>
    <i>
      <x v="586"/>
    </i>
    <i>
      <x v="450"/>
    </i>
    <i>
      <x v="545"/>
    </i>
    <i>
      <x v="562"/>
    </i>
    <i>
      <x v="429"/>
    </i>
    <i>
      <x v="375"/>
    </i>
    <i>
      <x v="389"/>
    </i>
    <i>
      <x v="343"/>
    </i>
    <i>
      <x v="525"/>
    </i>
    <i>
      <x v="473"/>
    </i>
    <i>
      <x v="446"/>
    </i>
    <i>
      <x v="571"/>
    </i>
    <i>
      <x v="665"/>
    </i>
    <i>
      <x v="606"/>
    </i>
    <i>
      <x v="527"/>
    </i>
    <i>
      <x v="542"/>
    </i>
    <i>
      <x v="460"/>
    </i>
    <i>
      <x v="127"/>
    </i>
    <i>
      <x v="80"/>
    </i>
    <i>
      <x v="306"/>
    </i>
    <i>
      <x v="273"/>
    </i>
    <i>
      <x v="170"/>
    </i>
    <i>
      <x v="258"/>
    </i>
    <i>
      <x v="6"/>
    </i>
    <i>
      <x v="24"/>
    </i>
    <i>
      <x v="207"/>
    </i>
    <i>
      <x v="26"/>
    </i>
    <i>
      <x v="316"/>
    </i>
    <i>
      <x v="62"/>
    </i>
    <i>
      <x v="321"/>
    </i>
    <i>
      <x v="18"/>
    </i>
    <i>
      <x v="325"/>
    </i>
    <i>
      <x v="189"/>
    </i>
    <i>
      <x v="246"/>
    </i>
    <i>
      <x v="17"/>
    </i>
    <i>
      <x v="307"/>
    </i>
    <i>
      <x v="135"/>
    </i>
    <i>
      <x v="249"/>
    </i>
    <i>
      <x v="226"/>
    </i>
    <i>
      <x v="250"/>
    </i>
    <i>
      <x v="286"/>
    </i>
    <i>
      <x v="234"/>
    </i>
    <i>
      <x v="261"/>
    </i>
    <i>
      <x v="172"/>
    </i>
    <i>
      <x v="39"/>
    </i>
    <i>
      <x v="58"/>
    </i>
    <i>
      <x v="141"/>
    </i>
    <i>
      <x v="151"/>
    </i>
    <i>
      <x v="143"/>
    </i>
    <i>
      <x v="40"/>
    </i>
    <i>
      <x v="102"/>
    </i>
    <i>
      <x v="106"/>
    </i>
    <i>
      <x v="113"/>
    </i>
    <i>
      <x v="120"/>
    </i>
    <i>
      <x v="134"/>
    </i>
    <i>
      <x v="224"/>
    </i>
    <i>
      <x v="753"/>
    </i>
    <i>
      <x v="879"/>
    </i>
    <i>
      <x v="670"/>
    </i>
    <i>
      <x v="901"/>
    </i>
    <i>
      <x v="793"/>
    </i>
    <i>
      <x v="874"/>
    </i>
    <i>
      <x v="734"/>
    </i>
    <i>
      <x v="940"/>
    </i>
    <i>
      <x v="926"/>
    </i>
    <i>
      <x v="749"/>
    </i>
    <i>
      <x v="733"/>
    </i>
    <i>
      <x v="974"/>
    </i>
    <i>
      <x v="894"/>
    </i>
    <i>
      <x v="802"/>
    </i>
    <i>
      <x v="995"/>
    </i>
    <i>
      <x v="878"/>
    </i>
    <i>
      <x v="933"/>
    </i>
    <i>
      <x v="747"/>
    </i>
    <i>
      <x v="804"/>
    </i>
    <i>
      <x v="772"/>
    </i>
    <i>
      <x v="518"/>
    </i>
    <i>
      <x v="489"/>
    </i>
    <i>
      <x v="438"/>
    </i>
    <i>
      <x v="387"/>
    </i>
    <i>
      <x v="483"/>
    </i>
    <i>
      <x v="566"/>
    </i>
    <i>
      <x v="396"/>
    </i>
    <i>
      <x v="617"/>
    </i>
    <i>
      <x v="345"/>
    </i>
    <i>
      <x v="451"/>
    </i>
    <i>
      <x v="659"/>
    </i>
    <i>
      <x v="579"/>
    </i>
    <i>
      <x v="485"/>
    </i>
    <i>
      <x v="344"/>
    </i>
    <i>
      <x v="376"/>
    </i>
    <i>
      <x v="601"/>
    </i>
    <i>
      <x v="650"/>
    </i>
    <i>
      <x v="268"/>
    </i>
    <i>
      <x v="255"/>
    </i>
    <i>
      <x v="116"/>
    </i>
    <i>
      <x v="305"/>
    </i>
    <i>
      <x v="28"/>
    </i>
    <i>
      <x v="65"/>
    </i>
    <i>
      <x v="140"/>
    </i>
    <i>
      <x v="5"/>
    </i>
    <i>
      <x v="56"/>
    </i>
    <i>
      <x v="89"/>
    </i>
    <i>
      <x v="2"/>
    </i>
    <i>
      <x v="99"/>
    </i>
    <i>
      <x v="44"/>
    </i>
    <i>
      <x v="195"/>
    </i>
    <i>
      <x v="855"/>
    </i>
    <i>
      <x v="907"/>
    </i>
    <i>
      <x v="764"/>
    </i>
    <i>
      <x v="952"/>
    </i>
    <i>
      <x v="791"/>
    </i>
    <i>
      <x v="744"/>
    </i>
    <i>
      <x v="790"/>
    </i>
    <i>
      <x v="739"/>
    </i>
    <i>
      <x v="979"/>
    </i>
    <i>
      <x v="955"/>
    </i>
    <i>
      <x v="825"/>
    </i>
    <i>
      <x v="989"/>
    </i>
    <i>
      <x v="877"/>
    </i>
    <i>
      <x v="945"/>
    </i>
    <i>
      <x v="967"/>
    </i>
    <i>
      <x v="787"/>
    </i>
    <i>
      <x v="468"/>
    </i>
    <i>
      <x v="379"/>
    </i>
    <i>
      <x v="544"/>
    </i>
    <i>
      <x v="454"/>
    </i>
    <i>
      <x v="362"/>
    </i>
    <i>
      <x v="347"/>
    </i>
    <i>
      <x v="427"/>
    </i>
    <i>
      <x v="371"/>
    </i>
    <i>
      <x v="486"/>
    </i>
    <i>
      <x v="558"/>
    </i>
    <i>
      <x v="585"/>
    </i>
    <i>
      <x v="397"/>
    </i>
    <i>
      <x v="512"/>
    </i>
    <i>
      <x v="363"/>
    </i>
    <i>
      <x v="388"/>
    </i>
    <i>
      <x v="657"/>
    </i>
    <i>
      <x v="423"/>
    </i>
    <i>
      <x v="658"/>
    </i>
    <i>
      <x v="185"/>
    </i>
    <i>
      <x v="230"/>
    </i>
    <i>
      <x v="201"/>
    </i>
    <i>
      <x v="318"/>
    </i>
    <i>
      <x v="236"/>
    </i>
    <i>
      <x v="206"/>
    </i>
    <i>
      <x v="103"/>
    </i>
    <i>
      <x v="309"/>
    </i>
    <i>
      <x v="43"/>
    </i>
    <i>
      <x v="310"/>
    </i>
    <i>
      <x v="204"/>
    </i>
    <i>
      <x v="232"/>
    </i>
    <i>
      <x v="205"/>
    </i>
    <i>
      <x v="242"/>
    </i>
    <i>
      <x v="223"/>
    </i>
    <i>
      <x v="191"/>
    </i>
    <i>
      <x v="28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9" baseField="2" baseItem="789" numFmtId="168"/>
    <dataField name="Total Units Sold" fld="6" baseField="2" baseItem="789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A45F4-34DD-4BE7-8F11-DBD31A916677}" name="Table1" displayName="Table1" ref="A1:L1001" totalsRowShown="0">
  <tableColumns count="12">
    <tableColumn id="1" xr3:uid="{E07E5DBC-B73A-4FCB-89BC-CB46528F56C3}" name="Transaction ID"/>
    <tableColumn id="2" xr3:uid="{F6F8689F-6B4D-4508-9DC5-BDC7D649D81B}" name="Date" dataDxfId="3"/>
    <tableColumn id="3" xr3:uid="{A9F9BCF4-AF8A-4406-ACB5-7917E12E3965}" name="Customer ID"/>
    <tableColumn id="4" xr3:uid="{DA59E2D6-24CD-4EA2-894E-9D673C8BEC78}" name="Gender"/>
    <tableColumn id="5" xr3:uid="{5EE40F4F-6430-46B0-BE32-F94A492AE30E}" name="Age"/>
    <tableColumn id="6" xr3:uid="{A9CC2D2C-F50B-4E68-BD7C-6ED1CD3A8873}" name="Product Category"/>
    <tableColumn id="7" xr3:uid="{0CCA7F24-9822-4C9B-9ADA-97BE49AD1B61}" name="Quantity"/>
    <tableColumn id="8" xr3:uid="{94ED69F4-C4F4-4A8A-8BCB-7E4D3C118C65}" name="Price per Unit"/>
    <tableColumn id="9" xr3:uid="{868FCBFA-B449-431E-8861-C26E6A897F3A}" name="Total Amount"/>
    <tableColumn id="10" xr3:uid="{9441AD83-FB49-4A15-8549-8314D371E592}" name="Revenue" dataDxfId="2">
      <calculatedColumnFormula>Table1[[#This Row],[Quantity]]*Table1[[#This Row],[Price per Unit]]</calculatedColumnFormula>
    </tableColumn>
    <tableColumn id="11" xr3:uid="{E6F903F9-E90D-4312-97E2-4A35FB91C3C4}" name="Age Group" dataDxfId="1">
      <calculatedColumnFormula>IF(E2&lt;25,"Under 25",
IF(E2&lt;35,"25–34",
IF(E2&lt;45,"35–44",
IF(E2&lt;55,"45–54","55+"))))</calculatedColumnFormula>
    </tableColumn>
    <tableColumn id="12" xr3:uid="{D5EC2B85-E89E-4AC6-ADBC-2DFFA6239B9D}" name="Month" dataDxfId="0">
      <calculatedColumnFormula>TEXT(B2,"yyyy-mm")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opLeftCell="A2" workbookViewId="0">
      <selection activeCell="A2" sqref="A2"/>
    </sheetView>
  </sheetViews>
  <sheetFormatPr defaultRowHeight="15" x14ac:dyDescent="0.25"/>
  <cols>
    <col min="1" max="1" width="15.5703125" customWidth="1"/>
    <col min="2" max="2" width="10.7109375" bestFit="1" customWidth="1"/>
    <col min="3" max="3" width="14" customWidth="1"/>
    <col min="4" max="4" width="9.85546875" customWidth="1"/>
    <col min="6" max="6" width="18.28515625" customWidth="1"/>
    <col min="7" max="7" width="10.85546875" customWidth="1"/>
    <col min="8" max="8" width="15.28515625" customWidth="1"/>
    <col min="9" max="9" width="15.140625" customWidth="1"/>
    <col min="10" max="10" width="11.140625" bestFit="1" customWidth="1"/>
    <col min="11" max="11" width="12.7109375" bestFit="1" customWidth="1"/>
    <col min="15" max="15" width="13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1014</v>
      </c>
      <c r="K1" t="s">
        <v>1023</v>
      </c>
      <c r="L1" t="s">
        <v>1029</v>
      </c>
    </row>
    <row r="2" spans="1:12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f>Table1[[#This Row],[Quantity]]*Table1[[#This Row],[Price per Unit]]</f>
        <v>150</v>
      </c>
      <c r="K2" t="str">
        <f t="shared" ref="K2:K65" si="0">IF(E2&lt;25,"Under 25",
IF(E2&lt;35,"25–34",
IF(E2&lt;45,"35–44",
IF(E2&lt;55,"45–54","55+"))))</f>
        <v>25–34</v>
      </c>
      <c r="L2" t="str">
        <f t="shared" ref="L2:L65" si="1">TEXT(B2,"yyyy-mm")</f>
        <v>2023-11</v>
      </c>
    </row>
    <row r="3" spans="1:12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f>Table1[[#This Row],[Quantity]]*Table1[[#This Row],[Price per Unit]]</f>
        <v>1000</v>
      </c>
      <c r="K3" t="str">
        <f t="shared" si="0"/>
        <v>25–34</v>
      </c>
      <c r="L3" t="str">
        <f t="shared" si="1"/>
        <v>2023-02</v>
      </c>
    </row>
    <row r="4" spans="1:12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f>Table1[[#This Row],[Quantity]]*Table1[[#This Row],[Price per Unit]]</f>
        <v>30</v>
      </c>
      <c r="K4" t="str">
        <f t="shared" si="0"/>
        <v>45–54</v>
      </c>
      <c r="L4" t="str">
        <f t="shared" si="1"/>
        <v>2023-01</v>
      </c>
    </row>
    <row r="5" spans="1:12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f>Table1[[#This Row],[Quantity]]*Table1[[#This Row],[Price per Unit]]</f>
        <v>500</v>
      </c>
      <c r="K5" t="str">
        <f t="shared" si="0"/>
        <v>35–44</v>
      </c>
      <c r="L5" t="str">
        <f t="shared" si="1"/>
        <v>2023-05</v>
      </c>
    </row>
    <row r="6" spans="1:12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f>Table1[[#This Row],[Quantity]]*Table1[[#This Row],[Price per Unit]]</f>
        <v>100</v>
      </c>
      <c r="K6" t="str">
        <f t="shared" si="0"/>
        <v>25–34</v>
      </c>
      <c r="L6" t="str">
        <f t="shared" si="1"/>
        <v>2023-05</v>
      </c>
    </row>
    <row r="7" spans="1:12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f>Table1[[#This Row],[Quantity]]*Table1[[#This Row],[Price per Unit]]</f>
        <v>30</v>
      </c>
      <c r="K7" t="str">
        <f t="shared" si="0"/>
        <v>45–54</v>
      </c>
      <c r="L7" t="str">
        <f t="shared" si="1"/>
        <v>2023-04</v>
      </c>
    </row>
    <row r="8" spans="1:12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f>Table1[[#This Row],[Quantity]]*Table1[[#This Row],[Price per Unit]]</f>
        <v>50</v>
      </c>
      <c r="K8" t="str">
        <f t="shared" si="0"/>
        <v>45–54</v>
      </c>
      <c r="L8" t="str">
        <f t="shared" si="1"/>
        <v>2023-03</v>
      </c>
    </row>
    <row r="9" spans="1:12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f>Table1[[#This Row],[Quantity]]*Table1[[#This Row],[Price per Unit]]</f>
        <v>100</v>
      </c>
      <c r="K9" t="str">
        <f t="shared" si="0"/>
        <v>25–34</v>
      </c>
      <c r="L9" t="str">
        <f t="shared" si="1"/>
        <v>2023-02</v>
      </c>
    </row>
    <row r="10" spans="1:12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f>Table1[[#This Row],[Quantity]]*Table1[[#This Row],[Price per Unit]]</f>
        <v>600</v>
      </c>
      <c r="K10" t="str">
        <f t="shared" si="0"/>
        <v>55+</v>
      </c>
      <c r="L10" t="str">
        <f t="shared" si="1"/>
        <v>2023-12</v>
      </c>
    </row>
    <row r="11" spans="1:12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f>Table1[[#This Row],[Quantity]]*Table1[[#This Row],[Price per Unit]]</f>
        <v>200</v>
      </c>
      <c r="K11" t="str">
        <f t="shared" si="0"/>
        <v>45–54</v>
      </c>
      <c r="L11" t="str">
        <f t="shared" si="1"/>
        <v>2023-10</v>
      </c>
    </row>
    <row r="12" spans="1:12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f>Table1[[#This Row],[Quantity]]*Table1[[#This Row],[Price per Unit]]</f>
        <v>100</v>
      </c>
      <c r="K12" t="str">
        <f t="shared" si="0"/>
        <v>Under 25</v>
      </c>
      <c r="L12" t="str">
        <f t="shared" si="1"/>
        <v>2023-02</v>
      </c>
    </row>
    <row r="13" spans="1:12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f>Table1[[#This Row],[Quantity]]*Table1[[#This Row],[Price per Unit]]</f>
        <v>75</v>
      </c>
      <c r="K13" t="str">
        <f t="shared" si="0"/>
        <v>35–44</v>
      </c>
      <c r="L13" t="str">
        <f t="shared" si="1"/>
        <v>2023-10</v>
      </c>
    </row>
    <row r="14" spans="1:12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f>Table1[[#This Row],[Quantity]]*Table1[[#This Row],[Price per Unit]]</f>
        <v>1500</v>
      </c>
      <c r="K14" t="str">
        <f t="shared" si="0"/>
        <v>Under 25</v>
      </c>
      <c r="L14" t="str">
        <f t="shared" si="1"/>
        <v>2023-08</v>
      </c>
    </row>
    <row r="15" spans="1:12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f>Table1[[#This Row],[Quantity]]*Table1[[#This Row],[Price per Unit]]</f>
        <v>120</v>
      </c>
      <c r="K15" t="str">
        <f t="shared" si="0"/>
        <v>55+</v>
      </c>
      <c r="L15" t="str">
        <f t="shared" si="1"/>
        <v>2023-01</v>
      </c>
    </row>
    <row r="16" spans="1:12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f>Table1[[#This Row],[Quantity]]*Table1[[#This Row],[Price per Unit]]</f>
        <v>2000</v>
      </c>
      <c r="K16" t="str">
        <f t="shared" si="0"/>
        <v>35–44</v>
      </c>
      <c r="L16" t="str">
        <f t="shared" si="1"/>
        <v>2023-01</v>
      </c>
    </row>
    <row r="17" spans="1:12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f>Table1[[#This Row],[Quantity]]*Table1[[#This Row],[Price per Unit]]</f>
        <v>1500</v>
      </c>
      <c r="K17" t="str">
        <f t="shared" si="0"/>
        <v>Under 25</v>
      </c>
      <c r="L17" t="str">
        <f t="shared" si="1"/>
        <v>2023-02</v>
      </c>
    </row>
    <row r="18" spans="1:12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f>Table1[[#This Row],[Quantity]]*Table1[[#This Row],[Price per Unit]]</f>
        <v>100</v>
      </c>
      <c r="K18" t="str">
        <f t="shared" si="0"/>
        <v>25–34</v>
      </c>
      <c r="L18" t="str">
        <f t="shared" si="1"/>
        <v>2023-04</v>
      </c>
    </row>
    <row r="19" spans="1:12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f>Table1[[#This Row],[Quantity]]*Table1[[#This Row],[Price per Unit]]</f>
        <v>50</v>
      </c>
      <c r="K19" t="str">
        <f t="shared" si="0"/>
        <v>45–54</v>
      </c>
      <c r="L19" t="str">
        <f t="shared" si="1"/>
        <v>2023-04</v>
      </c>
    </row>
    <row r="20" spans="1:12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f>Table1[[#This Row],[Quantity]]*Table1[[#This Row],[Price per Unit]]</f>
        <v>50</v>
      </c>
      <c r="K20" t="str">
        <f t="shared" si="0"/>
        <v>55+</v>
      </c>
      <c r="L20" t="str">
        <f t="shared" si="1"/>
        <v>2023-09</v>
      </c>
    </row>
    <row r="21" spans="1:12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f>Table1[[#This Row],[Quantity]]*Table1[[#This Row],[Price per Unit]]</f>
        <v>900</v>
      </c>
      <c r="K21" t="str">
        <f t="shared" si="0"/>
        <v>Under 25</v>
      </c>
      <c r="L21" t="str">
        <f t="shared" si="1"/>
        <v>2023-11</v>
      </c>
    </row>
    <row r="22" spans="1:12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f>Table1[[#This Row],[Quantity]]*Table1[[#This Row],[Price per Unit]]</f>
        <v>500</v>
      </c>
      <c r="K22" t="str">
        <f t="shared" si="0"/>
        <v>45–54</v>
      </c>
      <c r="L22" t="str">
        <f t="shared" si="1"/>
        <v>2023-01</v>
      </c>
    </row>
    <row r="23" spans="1:12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f>Table1[[#This Row],[Quantity]]*Table1[[#This Row],[Price per Unit]]</f>
        <v>100</v>
      </c>
      <c r="K23" t="str">
        <f t="shared" si="0"/>
        <v>Under 25</v>
      </c>
      <c r="L23" t="str">
        <f t="shared" si="1"/>
        <v>2023-10</v>
      </c>
    </row>
    <row r="24" spans="1:12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f>Table1[[#This Row],[Quantity]]*Table1[[#This Row],[Price per Unit]]</f>
        <v>120</v>
      </c>
      <c r="K24" t="str">
        <f t="shared" si="0"/>
        <v>35–44</v>
      </c>
      <c r="L24" t="str">
        <f t="shared" si="1"/>
        <v>2023-04</v>
      </c>
    </row>
    <row r="25" spans="1:12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f>Table1[[#This Row],[Quantity]]*Table1[[#This Row],[Price per Unit]]</f>
        <v>300</v>
      </c>
      <c r="K25" t="str">
        <f t="shared" si="0"/>
        <v>45–54</v>
      </c>
      <c r="L25" t="str">
        <f t="shared" si="1"/>
        <v>2023-11</v>
      </c>
    </row>
    <row r="26" spans="1:12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f>Table1[[#This Row],[Quantity]]*Table1[[#This Row],[Price per Unit]]</f>
        <v>50</v>
      </c>
      <c r="K26" t="str">
        <f t="shared" si="0"/>
        <v>55+</v>
      </c>
      <c r="L26" t="str">
        <f t="shared" si="1"/>
        <v>2023-12</v>
      </c>
    </row>
    <row r="27" spans="1:12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f>Table1[[#This Row],[Quantity]]*Table1[[#This Row],[Price per Unit]]</f>
        <v>1000</v>
      </c>
      <c r="K27" t="str">
        <f t="shared" si="0"/>
        <v>25–34</v>
      </c>
      <c r="L27" t="str">
        <f t="shared" si="1"/>
        <v>2023-10</v>
      </c>
    </row>
    <row r="28" spans="1:12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f>Table1[[#This Row],[Quantity]]*Table1[[#This Row],[Price per Unit]]</f>
        <v>50</v>
      </c>
      <c r="K28" t="str">
        <f t="shared" si="0"/>
        <v>35–44</v>
      </c>
      <c r="L28" t="str">
        <f t="shared" si="1"/>
        <v>2023-08</v>
      </c>
    </row>
    <row r="29" spans="1:12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f>Table1[[#This Row],[Quantity]]*Table1[[#This Row],[Price per Unit]]</f>
        <v>500</v>
      </c>
      <c r="K29" t="str">
        <f t="shared" si="0"/>
        <v>35–44</v>
      </c>
      <c r="L29" t="str">
        <f t="shared" si="1"/>
        <v>2023-04</v>
      </c>
    </row>
    <row r="30" spans="1:12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f>Table1[[#This Row],[Quantity]]*Table1[[#This Row],[Price per Unit]]</f>
        <v>30</v>
      </c>
      <c r="K30" t="str">
        <f t="shared" si="0"/>
        <v>35–44</v>
      </c>
      <c r="L30" t="str">
        <f t="shared" si="1"/>
        <v>2023-08</v>
      </c>
    </row>
    <row r="31" spans="1:12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f>Table1[[#This Row],[Quantity]]*Table1[[#This Row],[Price per Unit]]</f>
        <v>900</v>
      </c>
      <c r="K31" t="str">
        <f t="shared" si="0"/>
        <v>35–44</v>
      </c>
      <c r="L31" t="str">
        <f t="shared" si="1"/>
        <v>2023-10</v>
      </c>
    </row>
    <row r="32" spans="1:12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f>Table1[[#This Row],[Quantity]]*Table1[[#This Row],[Price per Unit]]</f>
        <v>1200</v>
      </c>
      <c r="K32" t="str">
        <f t="shared" si="0"/>
        <v>35–44</v>
      </c>
      <c r="L32" t="str">
        <f t="shared" si="1"/>
        <v>2023-05</v>
      </c>
    </row>
    <row r="33" spans="1:12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f>Table1[[#This Row],[Quantity]]*Table1[[#This Row],[Price per Unit]]</f>
        <v>90</v>
      </c>
      <c r="K33" t="str">
        <f t="shared" si="0"/>
        <v>25–34</v>
      </c>
      <c r="L33" t="str">
        <f t="shared" si="1"/>
        <v>2023-01</v>
      </c>
    </row>
    <row r="34" spans="1:12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f>Table1[[#This Row],[Quantity]]*Table1[[#This Row],[Price per Unit]]</f>
        <v>100</v>
      </c>
      <c r="K34" t="str">
        <f t="shared" si="0"/>
        <v>45–54</v>
      </c>
      <c r="L34" t="str">
        <f t="shared" si="1"/>
        <v>2023-03</v>
      </c>
    </row>
    <row r="35" spans="1:12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f>Table1[[#This Row],[Quantity]]*Table1[[#This Row],[Price per Unit]]</f>
        <v>150</v>
      </c>
      <c r="K35" t="str">
        <f t="shared" si="0"/>
        <v>45–54</v>
      </c>
      <c r="L35" t="str">
        <f t="shared" si="1"/>
        <v>2023-12</v>
      </c>
    </row>
    <row r="36" spans="1:12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f>Table1[[#This Row],[Quantity]]*Table1[[#This Row],[Price per Unit]]</f>
        <v>900</v>
      </c>
      <c r="K36" t="str">
        <f t="shared" si="0"/>
        <v>55+</v>
      </c>
      <c r="L36" t="str">
        <f t="shared" si="1"/>
        <v>2023-08</v>
      </c>
    </row>
    <row r="37" spans="1:12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f>Table1[[#This Row],[Quantity]]*Table1[[#This Row],[Price per Unit]]</f>
        <v>900</v>
      </c>
      <c r="K37" t="str">
        <f t="shared" si="0"/>
        <v>45–54</v>
      </c>
      <c r="L37" t="str">
        <f t="shared" si="1"/>
        <v>2023-06</v>
      </c>
    </row>
    <row r="38" spans="1:12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f>Table1[[#This Row],[Quantity]]*Table1[[#This Row],[Price per Unit]]</f>
        <v>75</v>
      </c>
      <c r="K38" t="str">
        <f t="shared" si="0"/>
        <v>Under 25</v>
      </c>
      <c r="L38" t="str">
        <f t="shared" si="1"/>
        <v>2023-05</v>
      </c>
    </row>
    <row r="39" spans="1:12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f>Table1[[#This Row],[Quantity]]*Table1[[#This Row],[Price per Unit]]</f>
        <v>200</v>
      </c>
      <c r="K39" t="str">
        <f t="shared" si="0"/>
        <v>35–44</v>
      </c>
      <c r="L39" t="str">
        <f t="shared" si="1"/>
        <v>2023-03</v>
      </c>
    </row>
    <row r="40" spans="1:12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f>Table1[[#This Row],[Quantity]]*Table1[[#This Row],[Price per Unit]]</f>
        <v>120</v>
      </c>
      <c r="K40" t="str">
        <f t="shared" si="0"/>
        <v>Under 25</v>
      </c>
      <c r="L40" t="str">
        <f t="shared" si="1"/>
        <v>2023-04</v>
      </c>
    </row>
    <row r="41" spans="1:12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f>Table1[[#This Row],[Quantity]]*Table1[[#This Row],[Price per Unit]]</f>
        <v>50</v>
      </c>
      <c r="K41" t="str">
        <f t="shared" si="0"/>
        <v>45–54</v>
      </c>
      <c r="L41" t="str">
        <f t="shared" si="1"/>
        <v>2023-06</v>
      </c>
    </row>
    <row r="42" spans="1:12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f>Table1[[#This Row],[Quantity]]*Table1[[#This Row],[Price per Unit]]</f>
        <v>50</v>
      </c>
      <c r="K42" t="str">
        <f t="shared" si="0"/>
        <v>25–34</v>
      </c>
      <c r="L42" t="str">
        <f t="shared" si="1"/>
        <v>2023-02</v>
      </c>
    </row>
    <row r="43" spans="1:12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f>Table1[[#This Row],[Quantity]]*Table1[[#This Row],[Price per Unit]]</f>
        <v>900</v>
      </c>
      <c r="K43" t="str">
        <f t="shared" si="0"/>
        <v>Under 25</v>
      </c>
      <c r="L43" t="str">
        <f t="shared" si="1"/>
        <v>2023-02</v>
      </c>
    </row>
    <row r="44" spans="1:12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f>Table1[[#This Row],[Quantity]]*Table1[[#This Row],[Price per Unit]]</f>
        <v>300</v>
      </c>
      <c r="K44" t="str">
        <f t="shared" si="0"/>
        <v>45–54</v>
      </c>
      <c r="L44" t="str">
        <f t="shared" si="1"/>
        <v>2023-07</v>
      </c>
    </row>
    <row r="45" spans="1:12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f>Table1[[#This Row],[Quantity]]*Table1[[#This Row],[Price per Unit]]</f>
        <v>25</v>
      </c>
      <c r="K45" t="str">
        <f t="shared" si="0"/>
        <v>Under 25</v>
      </c>
      <c r="L45" t="str">
        <f t="shared" si="1"/>
        <v>2023-02</v>
      </c>
    </row>
    <row r="46" spans="1:12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f>Table1[[#This Row],[Quantity]]*Table1[[#This Row],[Price per Unit]]</f>
        <v>30</v>
      </c>
      <c r="K46" t="str">
        <f t="shared" si="0"/>
        <v>55+</v>
      </c>
      <c r="L46" t="str">
        <f t="shared" si="1"/>
        <v>2023-07</v>
      </c>
    </row>
    <row r="47" spans="1:12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f>Table1[[#This Row],[Quantity]]*Table1[[#This Row],[Price per Unit]]</f>
        <v>1200</v>
      </c>
      <c r="K47" t="str">
        <f t="shared" si="0"/>
        <v>Under 25</v>
      </c>
      <c r="L47" t="str">
        <f t="shared" si="1"/>
        <v>2023-06</v>
      </c>
    </row>
    <row r="48" spans="1:12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f>Table1[[#This Row],[Quantity]]*Table1[[#This Row],[Price per Unit]]</f>
        <v>1500</v>
      </c>
      <c r="K48" t="str">
        <f t="shared" si="0"/>
        <v>35–44</v>
      </c>
      <c r="L48" t="str">
        <f t="shared" si="1"/>
        <v>2023-11</v>
      </c>
    </row>
    <row r="49" spans="1:12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f>Table1[[#This Row],[Quantity]]*Table1[[#This Row],[Price per Unit]]</f>
        <v>900</v>
      </c>
      <c r="K49" t="str">
        <f t="shared" si="0"/>
        <v>45–54</v>
      </c>
      <c r="L49" t="str">
        <f t="shared" si="1"/>
        <v>2023-05</v>
      </c>
    </row>
    <row r="50" spans="1:12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f>Table1[[#This Row],[Quantity]]*Table1[[#This Row],[Price per Unit]]</f>
        <v>1000</v>
      </c>
      <c r="K50" t="str">
        <f t="shared" si="0"/>
        <v>45–54</v>
      </c>
      <c r="L50" t="str">
        <f t="shared" si="1"/>
        <v>2023-01</v>
      </c>
    </row>
    <row r="51" spans="1:12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f>Table1[[#This Row],[Quantity]]*Table1[[#This Row],[Price per Unit]]</f>
        <v>75</v>
      </c>
      <c r="K51" t="str">
        <f t="shared" si="0"/>
        <v>25–34</v>
      </c>
      <c r="L51" t="str">
        <f t="shared" si="1"/>
        <v>2023-08</v>
      </c>
    </row>
    <row r="52" spans="1:12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f>Table1[[#This Row],[Quantity]]*Table1[[#This Row],[Price per Unit]]</f>
        <v>75</v>
      </c>
      <c r="K52" t="str">
        <f t="shared" si="0"/>
        <v>25–34</v>
      </c>
      <c r="L52" t="str">
        <f t="shared" si="1"/>
        <v>2023-10</v>
      </c>
    </row>
    <row r="53" spans="1:12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f>Table1[[#This Row],[Quantity]]*Table1[[#This Row],[Price per Unit]]</f>
        <v>300</v>
      </c>
      <c r="K53" t="str">
        <f t="shared" si="0"/>
        <v>35–44</v>
      </c>
      <c r="L53" t="str">
        <f t="shared" si="1"/>
        <v>2023-03</v>
      </c>
    </row>
    <row r="54" spans="1:12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f>Table1[[#This Row],[Quantity]]*Table1[[#This Row],[Price per Unit]]</f>
        <v>100</v>
      </c>
      <c r="K54" t="str">
        <f t="shared" si="0"/>
        <v>25–34</v>
      </c>
      <c r="L54" t="str">
        <f t="shared" si="1"/>
        <v>2023-07</v>
      </c>
    </row>
    <row r="55" spans="1:12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f>Table1[[#This Row],[Quantity]]*Table1[[#This Row],[Price per Unit]]</f>
        <v>1500</v>
      </c>
      <c r="K55" t="str">
        <f t="shared" si="0"/>
        <v>35–44</v>
      </c>
      <c r="L55" t="str">
        <f t="shared" si="1"/>
        <v>2023-02</v>
      </c>
    </row>
    <row r="56" spans="1:12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f>Table1[[#This Row],[Quantity]]*Table1[[#This Row],[Price per Unit]]</f>
        <v>120</v>
      </c>
      <c r="K56" t="str">
        <f t="shared" si="0"/>
        <v>25–34</v>
      </c>
      <c r="L56" t="str">
        <f t="shared" si="1"/>
        <v>2023-10</v>
      </c>
    </row>
    <row r="57" spans="1:12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f>Table1[[#This Row],[Quantity]]*Table1[[#This Row],[Price per Unit]]</f>
        <v>900</v>
      </c>
      <c r="K57" t="str">
        <f t="shared" si="0"/>
        <v>25–34</v>
      </c>
      <c r="L57" t="str">
        <f t="shared" si="1"/>
        <v>2023-05</v>
      </c>
    </row>
    <row r="58" spans="1:12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f>Table1[[#This Row],[Quantity]]*Table1[[#This Row],[Price per Unit]]</f>
        <v>30</v>
      </c>
      <c r="K58" t="str">
        <f t="shared" si="0"/>
        <v>55+</v>
      </c>
      <c r="L58" t="str">
        <f t="shared" si="1"/>
        <v>2023-11</v>
      </c>
    </row>
    <row r="59" spans="1:12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f>Table1[[#This Row],[Quantity]]*Table1[[#This Row],[Price per Unit]]</f>
        <v>1200</v>
      </c>
      <c r="K59" t="str">
        <f t="shared" si="0"/>
        <v>Under 25</v>
      </c>
      <c r="L59" t="str">
        <f t="shared" si="1"/>
        <v>2023-11</v>
      </c>
    </row>
    <row r="60" spans="1:12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f>Table1[[#This Row],[Quantity]]*Table1[[#This Row],[Price per Unit]]</f>
        <v>50</v>
      </c>
      <c r="K60" t="str">
        <f t="shared" si="0"/>
        <v>55+</v>
      </c>
      <c r="L60" t="str">
        <f t="shared" si="1"/>
        <v>2023-07</v>
      </c>
    </row>
    <row r="61" spans="1:12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f>Table1[[#This Row],[Quantity]]*Table1[[#This Row],[Price per Unit]]</f>
        <v>150</v>
      </c>
      <c r="K61" t="str">
        <f t="shared" si="0"/>
        <v>25–34</v>
      </c>
      <c r="L61" t="str">
        <f t="shared" si="1"/>
        <v>2023-10</v>
      </c>
    </row>
    <row r="62" spans="1:12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f>Table1[[#This Row],[Quantity]]*Table1[[#This Row],[Price per Unit]]</f>
        <v>200</v>
      </c>
      <c r="K62" t="str">
        <f t="shared" si="0"/>
        <v>Under 25</v>
      </c>
      <c r="L62" t="str">
        <f t="shared" si="1"/>
        <v>2023-04</v>
      </c>
    </row>
    <row r="63" spans="1:12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f>Table1[[#This Row],[Quantity]]*Table1[[#This Row],[Price per Unit]]</f>
        <v>100</v>
      </c>
      <c r="K63" t="str">
        <f t="shared" si="0"/>
        <v>Under 25</v>
      </c>
      <c r="L63" t="str">
        <f t="shared" si="1"/>
        <v>2023-12</v>
      </c>
    </row>
    <row r="64" spans="1:12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f>Table1[[#This Row],[Quantity]]*Table1[[#This Row],[Price per Unit]]</f>
        <v>50</v>
      </c>
      <c r="K64" t="str">
        <f t="shared" si="0"/>
        <v>55+</v>
      </c>
      <c r="L64" t="str">
        <f t="shared" si="1"/>
        <v>2023-02</v>
      </c>
    </row>
    <row r="65" spans="1:12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f>Table1[[#This Row],[Quantity]]*Table1[[#This Row],[Price per Unit]]</f>
        <v>100</v>
      </c>
      <c r="K65" t="str">
        <f t="shared" si="0"/>
        <v>45–54</v>
      </c>
      <c r="L65" t="str">
        <f t="shared" si="1"/>
        <v>2023-01</v>
      </c>
    </row>
    <row r="66" spans="1:12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f>Table1[[#This Row],[Quantity]]*Table1[[#This Row],[Price per Unit]]</f>
        <v>2000</v>
      </c>
      <c r="K66" t="str">
        <f t="shared" ref="K66:K129" si="2">IF(E66&lt;25,"Under 25",
IF(E66&lt;35,"25–34",
IF(E66&lt;45,"35–44",
IF(E66&lt;55,"45–54","55+"))))</f>
        <v>45–54</v>
      </c>
      <c r="L66" t="str">
        <f t="shared" ref="L66:L129" si="3">TEXT(B66,"yyyy-mm")</f>
        <v>2023-12</v>
      </c>
    </row>
    <row r="67" spans="1:12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f>Table1[[#This Row],[Quantity]]*Table1[[#This Row],[Price per Unit]]</f>
        <v>30</v>
      </c>
      <c r="K67" t="str">
        <f t="shared" si="2"/>
        <v>45–54</v>
      </c>
      <c r="L67" t="str">
        <f t="shared" si="3"/>
        <v>2023-04</v>
      </c>
    </row>
    <row r="68" spans="1:12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f>Table1[[#This Row],[Quantity]]*Table1[[#This Row],[Price per Unit]]</f>
        <v>1200</v>
      </c>
      <c r="K68" t="str">
        <f t="shared" si="2"/>
        <v>45–54</v>
      </c>
      <c r="L68" t="str">
        <f t="shared" si="3"/>
        <v>2023-05</v>
      </c>
    </row>
    <row r="69" spans="1:12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f>Table1[[#This Row],[Quantity]]*Table1[[#This Row],[Price per Unit]]</f>
        <v>300</v>
      </c>
      <c r="K69" t="str">
        <f t="shared" si="2"/>
        <v>25–34</v>
      </c>
      <c r="L69" t="str">
        <f t="shared" si="3"/>
        <v>2023-02</v>
      </c>
    </row>
    <row r="70" spans="1:12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f>Table1[[#This Row],[Quantity]]*Table1[[#This Row],[Price per Unit]]</f>
        <v>75</v>
      </c>
      <c r="K70" t="str">
        <f t="shared" si="2"/>
        <v>55+</v>
      </c>
      <c r="L70" t="str">
        <f t="shared" si="3"/>
        <v>2023-04</v>
      </c>
    </row>
    <row r="71" spans="1:12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f>Table1[[#This Row],[Quantity]]*Table1[[#This Row],[Price per Unit]]</f>
        <v>300</v>
      </c>
      <c r="K71" t="str">
        <f t="shared" si="2"/>
        <v>35–44</v>
      </c>
      <c r="L71" t="str">
        <f t="shared" si="3"/>
        <v>2023-02</v>
      </c>
    </row>
    <row r="72" spans="1:12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f>Table1[[#This Row],[Quantity]]*Table1[[#This Row],[Price per Unit]]</f>
        <v>100</v>
      </c>
      <c r="K72" t="str">
        <f t="shared" si="2"/>
        <v>45–54</v>
      </c>
      <c r="L72" t="str">
        <f t="shared" si="3"/>
        <v>2023-07</v>
      </c>
    </row>
    <row r="73" spans="1:12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f>Table1[[#This Row],[Quantity]]*Table1[[#This Row],[Price per Unit]]</f>
        <v>2000</v>
      </c>
      <c r="K73" t="str">
        <f t="shared" si="2"/>
        <v>Under 25</v>
      </c>
      <c r="L73" t="str">
        <f t="shared" si="3"/>
        <v>2023-05</v>
      </c>
    </row>
    <row r="74" spans="1:12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f>Table1[[#This Row],[Quantity]]*Table1[[#This Row],[Price per Unit]]</f>
        <v>90</v>
      </c>
      <c r="K74" t="str">
        <f t="shared" si="2"/>
        <v>25–34</v>
      </c>
      <c r="L74" t="str">
        <f t="shared" si="3"/>
        <v>2023-08</v>
      </c>
    </row>
    <row r="75" spans="1:12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f>Table1[[#This Row],[Quantity]]*Table1[[#This Row],[Price per Unit]]</f>
        <v>2000</v>
      </c>
      <c r="K75" t="str">
        <f t="shared" si="2"/>
        <v>Under 25</v>
      </c>
      <c r="L75" t="str">
        <f t="shared" si="3"/>
        <v>2023-11</v>
      </c>
    </row>
    <row r="76" spans="1:12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f>Table1[[#This Row],[Quantity]]*Table1[[#This Row],[Price per Unit]]</f>
        <v>200</v>
      </c>
      <c r="K76" t="str">
        <f t="shared" si="2"/>
        <v>55+</v>
      </c>
      <c r="L76" t="str">
        <f t="shared" si="3"/>
        <v>2023-07</v>
      </c>
    </row>
    <row r="77" spans="1:12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f>Table1[[#This Row],[Quantity]]*Table1[[#This Row],[Price per Unit]]</f>
        <v>100</v>
      </c>
      <c r="K77" t="str">
        <f t="shared" si="2"/>
        <v>Under 25</v>
      </c>
      <c r="L77" t="str">
        <f t="shared" si="3"/>
        <v>2023-03</v>
      </c>
    </row>
    <row r="78" spans="1:12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f>Table1[[#This Row],[Quantity]]*Table1[[#This Row],[Price per Unit]]</f>
        <v>100</v>
      </c>
      <c r="K78" t="str">
        <f t="shared" si="2"/>
        <v>45–54</v>
      </c>
      <c r="L78" t="str">
        <f t="shared" si="3"/>
        <v>2023-07</v>
      </c>
    </row>
    <row r="79" spans="1:12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f>Table1[[#This Row],[Quantity]]*Table1[[#This Row],[Price per Unit]]</f>
        <v>1500</v>
      </c>
      <c r="K79" t="str">
        <f t="shared" si="2"/>
        <v>45–54</v>
      </c>
      <c r="L79" t="str">
        <f t="shared" si="3"/>
        <v>2023-07</v>
      </c>
    </row>
    <row r="80" spans="1:12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f>Table1[[#This Row],[Quantity]]*Table1[[#This Row],[Price per Unit]]</f>
        <v>300</v>
      </c>
      <c r="K80" t="str">
        <f t="shared" si="2"/>
        <v>25–34</v>
      </c>
      <c r="L80" t="str">
        <f t="shared" si="3"/>
        <v>2023-04</v>
      </c>
    </row>
    <row r="81" spans="1:12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f>Table1[[#This Row],[Quantity]]*Table1[[#This Row],[Price per Unit]]</f>
        <v>60</v>
      </c>
      <c r="K81" t="str">
        <f t="shared" si="2"/>
        <v>55+</v>
      </c>
      <c r="L81" t="str">
        <f t="shared" si="3"/>
        <v>2023-12</v>
      </c>
    </row>
    <row r="82" spans="1:12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f>Table1[[#This Row],[Quantity]]*Table1[[#This Row],[Price per Unit]]</f>
        <v>50</v>
      </c>
      <c r="K82" t="str">
        <f t="shared" si="2"/>
        <v>35–44</v>
      </c>
      <c r="L82" t="str">
        <f t="shared" si="3"/>
        <v>2023-05</v>
      </c>
    </row>
    <row r="83" spans="1:12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f>Table1[[#This Row],[Quantity]]*Table1[[#This Row],[Price per Unit]]</f>
        <v>200</v>
      </c>
      <c r="K83" t="str">
        <f t="shared" si="2"/>
        <v>25–34</v>
      </c>
      <c r="L83" t="str">
        <f t="shared" si="3"/>
        <v>2023-12</v>
      </c>
    </row>
    <row r="84" spans="1:12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f>Table1[[#This Row],[Quantity]]*Table1[[#This Row],[Price per Unit]]</f>
        <v>100</v>
      </c>
      <c r="K84" t="str">
        <f t="shared" si="2"/>
        <v>45–54</v>
      </c>
      <c r="L84" t="str">
        <f t="shared" si="3"/>
        <v>2023-12</v>
      </c>
    </row>
    <row r="85" spans="1:12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f>Table1[[#This Row],[Quantity]]*Table1[[#This Row],[Price per Unit]]</f>
        <v>90</v>
      </c>
      <c r="K85" t="str">
        <f t="shared" si="2"/>
        <v>35–44</v>
      </c>
      <c r="L85" t="str">
        <f t="shared" si="3"/>
        <v>2023-11</v>
      </c>
    </row>
    <row r="86" spans="1:12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f>Table1[[#This Row],[Quantity]]*Table1[[#This Row],[Price per Unit]]</f>
        <v>150</v>
      </c>
      <c r="K86" t="str">
        <f t="shared" si="2"/>
        <v>25–34</v>
      </c>
      <c r="L86" t="str">
        <f t="shared" si="3"/>
        <v>2023-02</v>
      </c>
    </row>
    <row r="87" spans="1:12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f>Table1[[#This Row],[Quantity]]*Table1[[#This Row],[Price per Unit]]</f>
        <v>90</v>
      </c>
      <c r="K87" t="str">
        <f t="shared" si="2"/>
        <v>Under 25</v>
      </c>
      <c r="L87" t="str">
        <f t="shared" si="3"/>
        <v>2023-11</v>
      </c>
    </row>
    <row r="88" spans="1:12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f>Table1[[#This Row],[Quantity]]*Table1[[#This Row],[Price per Unit]]</f>
        <v>100</v>
      </c>
      <c r="K88" t="str">
        <f t="shared" si="2"/>
        <v>25–34</v>
      </c>
      <c r="L88" t="str">
        <f t="shared" si="3"/>
        <v>2023-11</v>
      </c>
    </row>
    <row r="89" spans="1:12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f>Table1[[#This Row],[Quantity]]*Table1[[#This Row],[Price per Unit]]</f>
        <v>500</v>
      </c>
      <c r="K89" t="str">
        <f t="shared" si="2"/>
        <v>55+</v>
      </c>
      <c r="L89" t="str">
        <f t="shared" si="3"/>
        <v>2023-03</v>
      </c>
    </row>
    <row r="90" spans="1:12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f>Table1[[#This Row],[Quantity]]*Table1[[#This Row],[Price per Unit]]</f>
        <v>2000</v>
      </c>
      <c r="K90" t="str">
        <f t="shared" si="2"/>
        <v>55+</v>
      </c>
      <c r="L90" t="str">
        <f t="shared" si="3"/>
        <v>2023-10</v>
      </c>
    </row>
    <row r="91" spans="1:12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f>Table1[[#This Row],[Quantity]]*Table1[[#This Row],[Price per Unit]]</f>
        <v>30</v>
      </c>
      <c r="K91" t="str">
        <f t="shared" si="2"/>
        <v>45–54</v>
      </c>
      <c r="L91" t="str">
        <f t="shared" si="3"/>
        <v>2023-05</v>
      </c>
    </row>
    <row r="92" spans="1:12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f>Table1[[#This Row],[Quantity]]*Table1[[#This Row],[Price per Unit]]</f>
        <v>500</v>
      </c>
      <c r="K92" t="str">
        <f t="shared" si="2"/>
        <v>55+</v>
      </c>
      <c r="L92" t="str">
        <f t="shared" si="3"/>
        <v>2023-03</v>
      </c>
    </row>
    <row r="93" spans="1:12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f>Table1[[#This Row],[Quantity]]*Table1[[#This Row],[Price per Unit]]</f>
        <v>120</v>
      </c>
      <c r="K93" t="str">
        <f t="shared" si="2"/>
        <v>45–54</v>
      </c>
      <c r="L93" t="str">
        <f t="shared" si="3"/>
        <v>2023-08</v>
      </c>
    </row>
    <row r="94" spans="1:12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f>Table1[[#This Row],[Quantity]]*Table1[[#This Row],[Price per Unit]]</f>
        <v>2000</v>
      </c>
      <c r="K94" t="str">
        <f t="shared" si="2"/>
        <v>35–44</v>
      </c>
      <c r="L94" t="str">
        <f t="shared" si="3"/>
        <v>2023-07</v>
      </c>
    </row>
    <row r="95" spans="1:12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f>Table1[[#This Row],[Quantity]]*Table1[[#This Row],[Price per Unit]]</f>
        <v>1000</v>
      </c>
      <c r="K95" t="str">
        <f t="shared" si="2"/>
        <v>45–54</v>
      </c>
      <c r="L95" t="str">
        <f t="shared" si="3"/>
        <v>2023-05</v>
      </c>
    </row>
    <row r="96" spans="1:12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f>Table1[[#This Row],[Quantity]]*Table1[[#This Row],[Price per Unit]]</f>
        <v>60</v>
      </c>
      <c r="K96" t="str">
        <f t="shared" si="2"/>
        <v>25–34</v>
      </c>
      <c r="L96" t="str">
        <f t="shared" si="3"/>
        <v>2023-11</v>
      </c>
    </row>
    <row r="97" spans="1:12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f>Table1[[#This Row],[Quantity]]*Table1[[#This Row],[Price per Unit]]</f>
        <v>600</v>
      </c>
      <c r="K97" t="str">
        <f t="shared" si="2"/>
        <v>35–44</v>
      </c>
      <c r="L97" t="str">
        <f t="shared" si="3"/>
        <v>2023-12</v>
      </c>
    </row>
    <row r="98" spans="1:12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f>Table1[[#This Row],[Quantity]]*Table1[[#This Row],[Price per Unit]]</f>
        <v>1000</v>
      </c>
      <c r="K98" t="str">
        <f t="shared" si="2"/>
        <v>45–54</v>
      </c>
      <c r="L98" t="str">
        <f t="shared" si="3"/>
        <v>2023-10</v>
      </c>
    </row>
    <row r="99" spans="1:12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f>Table1[[#This Row],[Quantity]]*Table1[[#This Row],[Price per Unit]]</f>
        <v>100</v>
      </c>
      <c r="K99" t="str">
        <f t="shared" si="2"/>
        <v>55+</v>
      </c>
      <c r="L99" t="str">
        <f t="shared" si="3"/>
        <v>2023-04</v>
      </c>
    </row>
    <row r="100" spans="1:12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f>Table1[[#This Row],[Quantity]]*Table1[[#This Row],[Price per Unit]]</f>
        <v>1200</v>
      </c>
      <c r="K100" t="str">
        <f t="shared" si="2"/>
        <v>45–54</v>
      </c>
      <c r="L100" t="str">
        <f t="shared" si="3"/>
        <v>2023-12</v>
      </c>
    </row>
    <row r="101" spans="1:12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f>Table1[[#This Row],[Quantity]]*Table1[[#This Row],[Price per Unit]]</f>
        <v>30</v>
      </c>
      <c r="K101" t="str">
        <f t="shared" si="2"/>
        <v>35–44</v>
      </c>
      <c r="L101" t="str">
        <f t="shared" si="3"/>
        <v>2023-06</v>
      </c>
    </row>
    <row r="102" spans="1:12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f>Table1[[#This Row],[Quantity]]*Table1[[#This Row],[Price per Unit]]</f>
        <v>600</v>
      </c>
      <c r="K102" t="str">
        <f t="shared" si="2"/>
        <v>25–34</v>
      </c>
      <c r="L102" t="str">
        <f t="shared" si="3"/>
        <v>2023-01</v>
      </c>
    </row>
    <row r="103" spans="1:12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f>Table1[[#This Row],[Quantity]]*Table1[[#This Row],[Price per Unit]]</f>
        <v>50</v>
      </c>
      <c r="K103" t="str">
        <f t="shared" si="2"/>
        <v>45–54</v>
      </c>
      <c r="L103" t="str">
        <f t="shared" si="3"/>
        <v>2023-04</v>
      </c>
    </row>
    <row r="104" spans="1:12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f>Table1[[#This Row],[Quantity]]*Table1[[#This Row],[Price per Unit]]</f>
        <v>25</v>
      </c>
      <c r="K104" t="str">
        <f t="shared" si="2"/>
        <v>55+</v>
      </c>
      <c r="L104" t="str">
        <f t="shared" si="3"/>
        <v>2023-01</v>
      </c>
    </row>
    <row r="105" spans="1:12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f>Table1[[#This Row],[Quantity]]*Table1[[#This Row],[Price per Unit]]</f>
        <v>1000</v>
      </c>
      <c r="K105" t="str">
        <f t="shared" si="2"/>
        <v>25–34</v>
      </c>
      <c r="L105" t="str">
        <f t="shared" si="3"/>
        <v>2023-06</v>
      </c>
    </row>
    <row r="106" spans="1:12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f>Table1[[#This Row],[Quantity]]*Table1[[#This Row],[Price per Unit]]</f>
        <v>500</v>
      </c>
      <c r="K106" t="str">
        <f t="shared" si="2"/>
        <v>Under 25</v>
      </c>
      <c r="L106" t="str">
        <f t="shared" si="3"/>
        <v>2023-07</v>
      </c>
    </row>
    <row r="107" spans="1:12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f>Table1[[#This Row],[Quantity]]*Table1[[#This Row],[Price per Unit]]</f>
        <v>50</v>
      </c>
      <c r="K107" t="str">
        <f t="shared" si="2"/>
        <v>45–54</v>
      </c>
      <c r="L107" t="str">
        <f t="shared" si="3"/>
        <v>2023-05</v>
      </c>
    </row>
    <row r="108" spans="1:12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f>Table1[[#This Row],[Quantity]]*Table1[[#This Row],[Price per Unit]]</f>
        <v>1200</v>
      </c>
      <c r="K108" t="str">
        <f t="shared" si="2"/>
        <v>Under 25</v>
      </c>
      <c r="L108" t="str">
        <f t="shared" si="3"/>
        <v>2023-02</v>
      </c>
    </row>
    <row r="109" spans="1:12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f>Table1[[#This Row],[Quantity]]*Table1[[#This Row],[Price per Unit]]</f>
        <v>75</v>
      </c>
      <c r="K109" t="str">
        <f t="shared" si="2"/>
        <v>25–34</v>
      </c>
      <c r="L109" t="str">
        <f t="shared" si="3"/>
        <v>2023-04</v>
      </c>
    </row>
    <row r="110" spans="1:12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f>Table1[[#This Row],[Quantity]]*Table1[[#This Row],[Price per Unit]]</f>
        <v>2000</v>
      </c>
      <c r="K110" t="str">
        <f t="shared" si="2"/>
        <v>25–34</v>
      </c>
      <c r="L110" t="str">
        <f t="shared" si="3"/>
        <v>2023-10</v>
      </c>
    </row>
    <row r="111" spans="1:12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f>Table1[[#This Row],[Quantity]]*Table1[[#This Row],[Price per Unit]]</f>
        <v>900</v>
      </c>
      <c r="K111" t="str">
        <f t="shared" si="2"/>
        <v>25–34</v>
      </c>
      <c r="L111" t="str">
        <f t="shared" si="3"/>
        <v>2023-06</v>
      </c>
    </row>
    <row r="112" spans="1:12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f>Table1[[#This Row],[Quantity]]*Table1[[#This Row],[Price per Unit]]</f>
        <v>1500</v>
      </c>
      <c r="K112" t="str">
        <f t="shared" si="2"/>
        <v>25–34</v>
      </c>
      <c r="L112" t="str">
        <f t="shared" si="3"/>
        <v>2023-04</v>
      </c>
    </row>
    <row r="113" spans="1:12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f>Table1[[#This Row],[Quantity]]*Table1[[#This Row],[Price per Unit]]</f>
        <v>1500</v>
      </c>
      <c r="K113" t="str">
        <f t="shared" si="2"/>
        <v>35–44</v>
      </c>
      <c r="L113" t="str">
        <f t="shared" si="3"/>
        <v>2023-12</v>
      </c>
    </row>
    <row r="114" spans="1:12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f>Table1[[#This Row],[Quantity]]*Table1[[#This Row],[Price per Unit]]</f>
        <v>50</v>
      </c>
      <c r="K114" t="str">
        <f t="shared" si="2"/>
        <v>35–44</v>
      </c>
      <c r="L114" t="str">
        <f t="shared" si="3"/>
        <v>2023-09</v>
      </c>
    </row>
    <row r="115" spans="1:12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f>Table1[[#This Row],[Quantity]]*Table1[[#This Row],[Price per Unit]]</f>
        <v>100</v>
      </c>
      <c r="K115" t="str">
        <f t="shared" si="2"/>
        <v>Under 25</v>
      </c>
      <c r="L115" t="str">
        <f t="shared" si="3"/>
        <v>2023-07</v>
      </c>
    </row>
    <row r="116" spans="1:12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f>Table1[[#This Row],[Quantity]]*Table1[[#This Row],[Price per Unit]]</f>
        <v>1500</v>
      </c>
      <c r="K116" t="str">
        <f t="shared" si="2"/>
        <v>45–54</v>
      </c>
      <c r="L116" t="str">
        <f t="shared" si="3"/>
        <v>2023-11</v>
      </c>
    </row>
    <row r="117" spans="1:12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f>Table1[[#This Row],[Quantity]]*Table1[[#This Row],[Price per Unit]]</f>
        <v>30</v>
      </c>
      <c r="K117" t="str">
        <f t="shared" si="2"/>
        <v>Under 25</v>
      </c>
      <c r="L117" t="str">
        <f t="shared" si="3"/>
        <v>2023-08</v>
      </c>
    </row>
    <row r="118" spans="1:12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f>Table1[[#This Row],[Quantity]]*Table1[[#This Row],[Price per Unit]]</f>
        <v>1000</v>
      </c>
      <c r="K118" t="str">
        <f t="shared" si="2"/>
        <v>Under 25</v>
      </c>
      <c r="L118" t="str">
        <f t="shared" si="3"/>
        <v>2023-03</v>
      </c>
    </row>
    <row r="119" spans="1:12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f>Table1[[#This Row],[Quantity]]*Table1[[#This Row],[Price per Unit]]</f>
        <v>2000</v>
      </c>
      <c r="K119" t="str">
        <f t="shared" si="2"/>
        <v>25–34</v>
      </c>
      <c r="L119" t="str">
        <f t="shared" si="3"/>
        <v>2023-05</v>
      </c>
    </row>
    <row r="120" spans="1:12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f>Table1[[#This Row],[Quantity]]*Table1[[#This Row],[Price per Unit]]</f>
        <v>150</v>
      </c>
      <c r="K120" t="str">
        <f t="shared" si="2"/>
        <v>55+</v>
      </c>
      <c r="L120" t="str">
        <f t="shared" si="3"/>
        <v>2023-03</v>
      </c>
    </row>
    <row r="121" spans="1:12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f>Table1[[#This Row],[Quantity]]*Table1[[#This Row],[Price per Unit]]</f>
        <v>50</v>
      </c>
      <c r="K121" t="str">
        <f t="shared" si="2"/>
        <v>55+</v>
      </c>
      <c r="L121" t="str">
        <f t="shared" si="3"/>
        <v>2023-05</v>
      </c>
    </row>
    <row r="122" spans="1:12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f>Table1[[#This Row],[Quantity]]*Table1[[#This Row],[Price per Unit]]</f>
        <v>200</v>
      </c>
      <c r="K122" t="str">
        <f t="shared" si="2"/>
        <v>25–34</v>
      </c>
      <c r="L122" t="str">
        <f t="shared" si="3"/>
        <v>2023-10</v>
      </c>
    </row>
    <row r="123" spans="1:12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f>Table1[[#This Row],[Quantity]]*Table1[[#This Row],[Price per Unit]]</f>
        <v>120</v>
      </c>
      <c r="K123" t="str">
        <f t="shared" si="2"/>
        <v>55+</v>
      </c>
      <c r="L123" t="str">
        <f t="shared" si="3"/>
        <v>2023-10</v>
      </c>
    </row>
    <row r="124" spans="1:12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f>Table1[[#This Row],[Quantity]]*Table1[[#This Row],[Price per Unit]]</f>
        <v>60</v>
      </c>
      <c r="K124" t="str">
        <f t="shared" si="2"/>
        <v>35–44</v>
      </c>
      <c r="L124" t="str">
        <f t="shared" si="3"/>
        <v>2023-05</v>
      </c>
    </row>
    <row r="125" spans="1:12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f>Table1[[#This Row],[Quantity]]*Table1[[#This Row],[Price per Unit]]</f>
        <v>2000</v>
      </c>
      <c r="K125" t="str">
        <f t="shared" si="2"/>
        <v>25–34</v>
      </c>
      <c r="L125" t="str">
        <f t="shared" si="3"/>
        <v>2023-10</v>
      </c>
    </row>
    <row r="126" spans="1:12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f>Table1[[#This Row],[Quantity]]*Table1[[#This Row],[Price per Unit]]</f>
        <v>100</v>
      </c>
      <c r="K126" t="str">
        <f t="shared" si="2"/>
        <v>45–54</v>
      </c>
      <c r="L126" t="str">
        <f t="shared" si="3"/>
        <v>2023-08</v>
      </c>
    </row>
    <row r="127" spans="1:12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f>Table1[[#This Row],[Quantity]]*Table1[[#This Row],[Price per Unit]]</f>
        <v>90</v>
      </c>
      <c r="K127" t="str">
        <f t="shared" si="2"/>
        <v>25–34</v>
      </c>
      <c r="L127" t="str">
        <f t="shared" si="3"/>
        <v>2023-10</v>
      </c>
    </row>
    <row r="128" spans="1:12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f>Table1[[#This Row],[Quantity]]*Table1[[#This Row],[Price per Unit]]</f>
        <v>50</v>
      </c>
      <c r="K128" t="str">
        <f t="shared" si="2"/>
        <v>25–34</v>
      </c>
      <c r="L128" t="str">
        <f t="shared" si="3"/>
        <v>2023-07</v>
      </c>
    </row>
    <row r="129" spans="1:12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f>Table1[[#This Row],[Quantity]]*Table1[[#This Row],[Price per Unit]]</f>
        <v>500</v>
      </c>
      <c r="K129" t="str">
        <f t="shared" si="2"/>
        <v>25–34</v>
      </c>
      <c r="L129" t="str">
        <f t="shared" si="3"/>
        <v>2023-07</v>
      </c>
    </row>
    <row r="130" spans="1:12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f>Table1[[#This Row],[Quantity]]*Table1[[#This Row],[Price per Unit]]</f>
        <v>600</v>
      </c>
      <c r="K130" t="str">
        <f t="shared" ref="K130:K193" si="4">IF(E130&lt;25,"Under 25",
IF(E130&lt;35,"25–34",
IF(E130&lt;45,"35–44",
IF(E130&lt;55,"45–54","55+"))))</f>
        <v>Under 25</v>
      </c>
      <c r="L130" t="str">
        <f t="shared" ref="L130:L193" si="5">TEXT(B130,"yyyy-mm")</f>
        <v>2023-04</v>
      </c>
    </row>
    <row r="131" spans="1:12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f>Table1[[#This Row],[Quantity]]*Table1[[#This Row],[Price per Unit]]</f>
        <v>500</v>
      </c>
      <c r="K131" t="str">
        <f t="shared" si="4"/>
        <v>55+</v>
      </c>
      <c r="L131" t="str">
        <f t="shared" si="5"/>
        <v>2023-03</v>
      </c>
    </row>
    <row r="132" spans="1:12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f>Table1[[#This Row],[Quantity]]*Table1[[#This Row],[Price per Unit]]</f>
        <v>600</v>
      </c>
      <c r="K132" t="str">
        <f t="shared" si="4"/>
        <v>Under 25</v>
      </c>
      <c r="L132" t="str">
        <f t="shared" si="5"/>
        <v>2023-09</v>
      </c>
    </row>
    <row r="133" spans="1:12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f>Table1[[#This Row],[Quantity]]*Table1[[#This Row],[Price per Unit]]</f>
        <v>200</v>
      </c>
      <c r="K133" t="str">
        <f t="shared" si="4"/>
        <v>35–44</v>
      </c>
      <c r="L133" t="str">
        <f t="shared" si="5"/>
        <v>2023-09</v>
      </c>
    </row>
    <row r="134" spans="1:12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f>Table1[[#This Row],[Quantity]]*Table1[[#This Row],[Price per Unit]]</f>
        <v>900</v>
      </c>
      <c r="K134" t="str">
        <f t="shared" si="4"/>
        <v>Under 25</v>
      </c>
      <c r="L134" t="str">
        <f t="shared" si="5"/>
        <v>2023-02</v>
      </c>
    </row>
    <row r="135" spans="1:12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f>Table1[[#This Row],[Quantity]]*Table1[[#This Row],[Price per Unit]]</f>
        <v>50</v>
      </c>
      <c r="K135" t="str">
        <f t="shared" si="4"/>
        <v>45–54</v>
      </c>
      <c r="L135" t="str">
        <f t="shared" si="5"/>
        <v>2023-01</v>
      </c>
    </row>
    <row r="136" spans="1:12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f>Table1[[#This Row],[Quantity]]*Table1[[#This Row],[Price per Unit]]</f>
        <v>50</v>
      </c>
      <c r="K136" t="str">
        <f t="shared" si="4"/>
        <v>Under 25</v>
      </c>
      <c r="L136" t="str">
        <f t="shared" si="5"/>
        <v>2023-02</v>
      </c>
    </row>
    <row r="137" spans="1:12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f>Table1[[#This Row],[Quantity]]*Table1[[#This Row],[Price per Unit]]</f>
        <v>600</v>
      </c>
      <c r="K137" t="str">
        <f t="shared" si="4"/>
        <v>35–44</v>
      </c>
      <c r="L137" t="str">
        <f t="shared" si="5"/>
        <v>2023-03</v>
      </c>
    </row>
    <row r="138" spans="1:12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f>Table1[[#This Row],[Quantity]]*Table1[[#This Row],[Price per Unit]]</f>
        <v>1000</v>
      </c>
      <c r="K138" t="str">
        <f t="shared" si="4"/>
        <v>45–54</v>
      </c>
      <c r="L138" t="str">
        <f t="shared" si="5"/>
        <v>2023-11</v>
      </c>
    </row>
    <row r="139" spans="1:12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f>Table1[[#This Row],[Quantity]]*Table1[[#This Row],[Price per Unit]]</f>
        <v>200</v>
      </c>
      <c r="K139" t="str">
        <f t="shared" si="4"/>
        <v>45–54</v>
      </c>
      <c r="L139" t="str">
        <f t="shared" si="5"/>
        <v>2023-03</v>
      </c>
    </row>
    <row r="140" spans="1:12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f>Table1[[#This Row],[Quantity]]*Table1[[#This Row],[Price per Unit]]</f>
        <v>2000</v>
      </c>
      <c r="K140" t="str">
        <f t="shared" si="4"/>
        <v>35–44</v>
      </c>
      <c r="L140" t="str">
        <f t="shared" si="5"/>
        <v>2023-12</v>
      </c>
    </row>
    <row r="141" spans="1:12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f>Table1[[#This Row],[Quantity]]*Table1[[#This Row],[Price per Unit]]</f>
        <v>30</v>
      </c>
      <c r="K141" t="str">
        <f t="shared" si="4"/>
        <v>35–44</v>
      </c>
      <c r="L141" t="str">
        <f t="shared" si="5"/>
        <v>2023-08</v>
      </c>
    </row>
    <row r="142" spans="1:12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f>Table1[[#This Row],[Quantity]]*Table1[[#This Row],[Price per Unit]]</f>
        <v>50</v>
      </c>
      <c r="K142" t="str">
        <f t="shared" si="4"/>
        <v>Under 25</v>
      </c>
      <c r="L142" t="str">
        <f t="shared" si="5"/>
        <v>2023-11</v>
      </c>
    </row>
    <row r="143" spans="1:12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f>Table1[[#This Row],[Quantity]]*Table1[[#This Row],[Price per Unit]]</f>
        <v>1200</v>
      </c>
      <c r="K143" t="str">
        <f t="shared" si="4"/>
        <v>35–44</v>
      </c>
      <c r="L143" t="str">
        <f t="shared" si="5"/>
        <v>2023-02</v>
      </c>
    </row>
    <row r="144" spans="1:12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f>Table1[[#This Row],[Quantity]]*Table1[[#This Row],[Price per Unit]]</f>
        <v>50</v>
      </c>
      <c r="K144" t="str">
        <f t="shared" si="4"/>
        <v>45–54</v>
      </c>
      <c r="L144" t="str">
        <f t="shared" si="5"/>
        <v>2023-07</v>
      </c>
    </row>
    <row r="145" spans="1:12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f>Table1[[#This Row],[Quantity]]*Table1[[#This Row],[Price per Unit]]</f>
        <v>1500</v>
      </c>
      <c r="K145" t="str">
        <f t="shared" si="4"/>
        <v>55+</v>
      </c>
      <c r="L145" t="str">
        <f t="shared" si="5"/>
        <v>2023-07</v>
      </c>
    </row>
    <row r="146" spans="1:12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f>Table1[[#This Row],[Quantity]]*Table1[[#This Row],[Price per Unit]]</f>
        <v>75</v>
      </c>
      <c r="K146" t="str">
        <f t="shared" si="4"/>
        <v>35–44</v>
      </c>
      <c r="L146" t="str">
        <f t="shared" si="5"/>
        <v>2023-11</v>
      </c>
    </row>
    <row r="147" spans="1:12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f>Table1[[#This Row],[Quantity]]*Table1[[#This Row],[Price per Unit]]</f>
        <v>200</v>
      </c>
      <c r="K147" t="str">
        <f t="shared" si="4"/>
        <v>35–44</v>
      </c>
      <c r="L147" t="str">
        <f t="shared" si="5"/>
        <v>2023-08</v>
      </c>
    </row>
    <row r="148" spans="1:12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f>Table1[[#This Row],[Quantity]]*Table1[[#This Row],[Price per Unit]]</f>
        <v>300</v>
      </c>
      <c r="K148" t="str">
        <f t="shared" si="4"/>
        <v>Under 25</v>
      </c>
      <c r="L148" t="str">
        <f t="shared" si="5"/>
        <v>2023-09</v>
      </c>
    </row>
    <row r="149" spans="1:12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f>Table1[[#This Row],[Quantity]]*Table1[[#This Row],[Price per Unit]]</f>
        <v>60</v>
      </c>
      <c r="K149" t="str">
        <f t="shared" si="4"/>
        <v>Under 25</v>
      </c>
      <c r="L149" t="str">
        <f t="shared" si="5"/>
        <v>2023-05</v>
      </c>
    </row>
    <row r="150" spans="1:12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f>Table1[[#This Row],[Quantity]]*Table1[[#This Row],[Price per Unit]]</f>
        <v>75</v>
      </c>
      <c r="K150" t="str">
        <f t="shared" si="4"/>
        <v>Under 25</v>
      </c>
      <c r="L150" t="str">
        <f t="shared" si="5"/>
        <v>2023-10</v>
      </c>
    </row>
    <row r="151" spans="1:12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f>Table1[[#This Row],[Quantity]]*Table1[[#This Row],[Price per Unit]]</f>
        <v>120</v>
      </c>
      <c r="K151" t="str">
        <f t="shared" si="4"/>
        <v>55+</v>
      </c>
      <c r="L151" t="str">
        <f t="shared" si="5"/>
        <v>2023-01</v>
      </c>
    </row>
    <row r="152" spans="1:12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f>Table1[[#This Row],[Quantity]]*Table1[[#This Row],[Price per Unit]]</f>
        <v>50</v>
      </c>
      <c r="K152" t="str">
        <f t="shared" si="4"/>
        <v>25–34</v>
      </c>
      <c r="L152" t="str">
        <f t="shared" si="5"/>
        <v>2023-12</v>
      </c>
    </row>
    <row r="153" spans="1:12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f>Table1[[#This Row],[Quantity]]*Table1[[#This Row],[Price per Unit]]</f>
        <v>2000</v>
      </c>
      <c r="K153" t="str">
        <f t="shared" si="4"/>
        <v>35–44</v>
      </c>
      <c r="L153" t="str">
        <f t="shared" si="5"/>
        <v>2023-02</v>
      </c>
    </row>
    <row r="154" spans="1:12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f>Table1[[#This Row],[Quantity]]*Table1[[#This Row],[Price per Unit]]</f>
        <v>1000</v>
      </c>
      <c r="K154" t="str">
        <f t="shared" si="4"/>
        <v>55+</v>
      </c>
      <c r="L154" t="str">
        <f t="shared" si="5"/>
        <v>2023-12</v>
      </c>
    </row>
    <row r="155" spans="1:12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f>Table1[[#This Row],[Quantity]]*Table1[[#This Row],[Price per Unit]]</f>
        <v>900</v>
      </c>
      <c r="K155" t="str">
        <f t="shared" si="4"/>
        <v>45–54</v>
      </c>
      <c r="L155" t="str">
        <f t="shared" si="5"/>
        <v>2023-10</v>
      </c>
    </row>
    <row r="156" spans="1:12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f>Table1[[#This Row],[Quantity]]*Table1[[#This Row],[Price per Unit]]</f>
        <v>2000</v>
      </c>
      <c r="K156" t="str">
        <f t="shared" si="4"/>
        <v>25–34</v>
      </c>
      <c r="L156" t="str">
        <f t="shared" si="5"/>
        <v>2023-05</v>
      </c>
    </row>
    <row r="157" spans="1:12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f>Table1[[#This Row],[Quantity]]*Table1[[#This Row],[Price per Unit]]</f>
        <v>100</v>
      </c>
      <c r="K157" t="str">
        <f t="shared" si="4"/>
        <v>35–44</v>
      </c>
      <c r="L157" t="str">
        <f t="shared" si="5"/>
        <v>2023-11</v>
      </c>
    </row>
    <row r="158" spans="1:12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f>Table1[[#This Row],[Quantity]]*Table1[[#This Row],[Price per Unit]]</f>
        <v>2000</v>
      </c>
      <c r="K158" t="str">
        <f t="shared" si="4"/>
        <v>55+</v>
      </c>
      <c r="L158" t="str">
        <f t="shared" si="5"/>
        <v>2023-06</v>
      </c>
    </row>
    <row r="159" spans="1:12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f>Table1[[#This Row],[Quantity]]*Table1[[#This Row],[Price per Unit]]</f>
        <v>600</v>
      </c>
      <c r="K159" t="str">
        <f t="shared" si="4"/>
        <v>35–44</v>
      </c>
      <c r="L159" t="str">
        <f t="shared" si="5"/>
        <v>2023-02</v>
      </c>
    </row>
    <row r="160" spans="1:12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f>Table1[[#This Row],[Quantity]]*Table1[[#This Row],[Price per Unit]]</f>
        <v>200</v>
      </c>
      <c r="K160" t="str">
        <f t="shared" si="4"/>
        <v>25–34</v>
      </c>
      <c r="L160" t="str">
        <f t="shared" si="5"/>
        <v>2023-05</v>
      </c>
    </row>
    <row r="161" spans="1:12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f>Table1[[#This Row],[Quantity]]*Table1[[#This Row],[Price per Unit]]</f>
        <v>100</v>
      </c>
      <c r="K161" t="str">
        <f t="shared" si="4"/>
        <v>35–44</v>
      </c>
      <c r="L161" t="str">
        <f t="shared" si="5"/>
        <v>2023-08</v>
      </c>
    </row>
    <row r="162" spans="1:12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f>Table1[[#This Row],[Quantity]]*Table1[[#This Row],[Price per Unit]]</f>
        <v>1000</v>
      </c>
      <c r="K162" t="str">
        <f t="shared" si="4"/>
        <v>55+</v>
      </c>
      <c r="L162" t="str">
        <f t="shared" si="5"/>
        <v>2023-03</v>
      </c>
    </row>
    <row r="163" spans="1:12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f>Table1[[#This Row],[Quantity]]*Table1[[#This Row],[Price per Unit]]</f>
        <v>60</v>
      </c>
      <c r="K163" t="str">
        <f t="shared" si="4"/>
        <v>35–44</v>
      </c>
      <c r="L163" t="str">
        <f t="shared" si="5"/>
        <v>2023-08</v>
      </c>
    </row>
    <row r="164" spans="1:12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f>Table1[[#This Row],[Quantity]]*Table1[[#This Row],[Price per Unit]]</f>
        <v>150</v>
      </c>
      <c r="K164" t="str">
        <f t="shared" si="4"/>
        <v>55+</v>
      </c>
      <c r="L164" t="str">
        <f t="shared" si="5"/>
        <v>2023-01</v>
      </c>
    </row>
    <row r="165" spans="1:12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f>Table1[[#This Row],[Quantity]]*Table1[[#This Row],[Price per Unit]]</f>
        <v>1500</v>
      </c>
      <c r="K165" t="str">
        <f t="shared" si="4"/>
        <v>45–54</v>
      </c>
      <c r="L165" t="str">
        <f t="shared" si="5"/>
        <v>2023-05</v>
      </c>
    </row>
    <row r="166" spans="1:12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f>Table1[[#This Row],[Quantity]]*Table1[[#This Row],[Price per Unit]]</f>
        <v>1200</v>
      </c>
      <c r="K166" t="str">
        <f t="shared" si="4"/>
        <v>55+</v>
      </c>
      <c r="L166" t="str">
        <f t="shared" si="5"/>
        <v>2023-09</v>
      </c>
    </row>
    <row r="167" spans="1:12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f>Table1[[#This Row],[Quantity]]*Table1[[#This Row],[Price per Unit]]</f>
        <v>2000</v>
      </c>
      <c r="K167" t="str">
        <f t="shared" si="4"/>
        <v>25–34</v>
      </c>
      <c r="L167" t="str">
        <f t="shared" si="5"/>
        <v>2023-04</v>
      </c>
    </row>
    <row r="168" spans="1:12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f>Table1[[#This Row],[Quantity]]*Table1[[#This Row],[Price per Unit]]</f>
        <v>150</v>
      </c>
      <c r="K168" t="str">
        <f t="shared" si="4"/>
        <v>35–44</v>
      </c>
      <c r="L168" t="str">
        <f t="shared" si="5"/>
        <v>2023-09</v>
      </c>
    </row>
    <row r="169" spans="1:12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f>Table1[[#This Row],[Quantity]]*Table1[[#This Row],[Price per Unit]]</f>
        <v>300</v>
      </c>
      <c r="K169" t="str">
        <f t="shared" si="4"/>
        <v>45–54</v>
      </c>
      <c r="L169" t="str">
        <f t="shared" si="5"/>
        <v>2023-02</v>
      </c>
    </row>
    <row r="170" spans="1:12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f>Table1[[#This Row],[Quantity]]*Table1[[#This Row],[Price per Unit]]</f>
        <v>1500</v>
      </c>
      <c r="K170" t="str">
        <f t="shared" si="4"/>
        <v>Under 25</v>
      </c>
      <c r="L170" t="str">
        <f t="shared" si="5"/>
        <v>2023-11</v>
      </c>
    </row>
    <row r="171" spans="1:12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f>Table1[[#This Row],[Quantity]]*Table1[[#This Row],[Price per Unit]]</f>
        <v>50</v>
      </c>
      <c r="K171" t="str">
        <f t="shared" si="4"/>
        <v>25–34</v>
      </c>
      <c r="L171" t="str">
        <f t="shared" si="5"/>
        <v>2023-06</v>
      </c>
    </row>
    <row r="172" spans="1:12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f>Table1[[#This Row],[Quantity]]*Table1[[#This Row],[Price per Unit]]</f>
        <v>900</v>
      </c>
      <c r="K172" t="str">
        <f t="shared" si="4"/>
        <v>45–54</v>
      </c>
      <c r="L172" t="str">
        <f t="shared" si="5"/>
        <v>2023-11</v>
      </c>
    </row>
    <row r="173" spans="1:12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f>Table1[[#This Row],[Quantity]]*Table1[[#This Row],[Price per Unit]]</f>
        <v>50</v>
      </c>
      <c r="K173" t="str">
        <f t="shared" si="4"/>
        <v>25–34</v>
      </c>
      <c r="L173" t="str">
        <f t="shared" si="5"/>
        <v>2023-09</v>
      </c>
    </row>
    <row r="174" spans="1:12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f>Table1[[#This Row],[Quantity]]*Table1[[#This Row],[Price per Unit]]</f>
        <v>120</v>
      </c>
      <c r="K174" t="str">
        <f t="shared" si="4"/>
        <v>55+</v>
      </c>
      <c r="L174" t="str">
        <f t="shared" si="5"/>
        <v>2023-11</v>
      </c>
    </row>
    <row r="175" spans="1:12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f>Table1[[#This Row],[Quantity]]*Table1[[#This Row],[Price per Unit]]</f>
        <v>300</v>
      </c>
      <c r="K175" t="str">
        <f t="shared" si="4"/>
        <v>35–44</v>
      </c>
      <c r="L175" t="str">
        <f t="shared" si="5"/>
        <v>2023-04</v>
      </c>
    </row>
    <row r="176" spans="1:12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f>Table1[[#This Row],[Quantity]]*Table1[[#This Row],[Price per Unit]]</f>
        <v>100</v>
      </c>
      <c r="K176" t="str">
        <f t="shared" si="4"/>
        <v>25–34</v>
      </c>
      <c r="L176" t="str">
        <f t="shared" si="5"/>
        <v>2023-03</v>
      </c>
    </row>
    <row r="177" spans="1:12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f>Table1[[#This Row],[Quantity]]*Table1[[#This Row],[Price per Unit]]</f>
        <v>100</v>
      </c>
      <c r="K177" t="str">
        <f t="shared" si="4"/>
        <v>35–44</v>
      </c>
      <c r="L177" t="str">
        <f t="shared" si="5"/>
        <v>2023-07</v>
      </c>
    </row>
    <row r="178" spans="1:12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f>Table1[[#This Row],[Quantity]]*Table1[[#This Row],[Price per Unit]]</f>
        <v>100</v>
      </c>
      <c r="K178" t="str">
        <f t="shared" si="4"/>
        <v>45–54</v>
      </c>
      <c r="L178" t="str">
        <f t="shared" si="5"/>
        <v>2023-03</v>
      </c>
    </row>
    <row r="179" spans="1:12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f>Table1[[#This Row],[Quantity]]*Table1[[#This Row],[Price per Unit]]</f>
        <v>60</v>
      </c>
      <c r="K179" t="str">
        <f t="shared" si="4"/>
        <v>35–44</v>
      </c>
      <c r="L179" t="str">
        <f t="shared" si="5"/>
        <v>2023-10</v>
      </c>
    </row>
    <row r="180" spans="1:12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f>Table1[[#This Row],[Quantity]]*Table1[[#This Row],[Price per Unit]]</f>
        <v>300</v>
      </c>
      <c r="K180" t="str">
        <f t="shared" si="4"/>
        <v>25–34</v>
      </c>
      <c r="L180" t="str">
        <f t="shared" si="5"/>
        <v>2023-09</v>
      </c>
    </row>
    <row r="181" spans="1:12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f>Table1[[#This Row],[Quantity]]*Table1[[#This Row],[Price per Unit]]</f>
        <v>900</v>
      </c>
      <c r="K181" t="str">
        <f t="shared" si="4"/>
        <v>35–44</v>
      </c>
      <c r="L181" t="str">
        <f t="shared" si="5"/>
        <v>2023-01</v>
      </c>
    </row>
    <row r="182" spans="1:12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f>Table1[[#This Row],[Quantity]]*Table1[[#This Row],[Price per Unit]]</f>
        <v>1200</v>
      </c>
      <c r="K182" t="str">
        <f t="shared" si="4"/>
        <v>Under 25</v>
      </c>
      <c r="L182" t="str">
        <f t="shared" si="5"/>
        <v>2023-11</v>
      </c>
    </row>
    <row r="183" spans="1:12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f>Table1[[#This Row],[Quantity]]*Table1[[#This Row],[Price per Unit]]</f>
        <v>120</v>
      </c>
      <c r="K183" t="str">
        <f t="shared" si="4"/>
        <v>55+</v>
      </c>
      <c r="L183" t="str">
        <f t="shared" si="5"/>
        <v>2023-06</v>
      </c>
    </row>
    <row r="184" spans="1:12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f>Table1[[#This Row],[Quantity]]*Table1[[#This Row],[Price per Unit]]</f>
        <v>900</v>
      </c>
      <c r="K184" t="str">
        <f t="shared" si="4"/>
        <v>35–44</v>
      </c>
      <c r="L184" t="str">
        <f t="shared" si="5"/>
        <v>2023-09</v>
      </c>
    </row>
    <row r="185" spans="1:12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f>Table1[[#This Row],[Quantity]]*Table1[[#This Row],[Price per Unit]]</f>
        <v>200</v>
      </c>
      <c r="K185" t="str">
        <f t="shared" si="4"/>
        <v>25–34</v>
      </c>
      <c r="L185" t="str">
        <f t="shared" si="5"/>
        <v>2023-01</v>
      </c>
    </row>
    <row r="186" spans="1:12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f>Table1[[#This Row],[Quantity]]*Table1[[#This Row],[Price per Unit]]</f>
        <v>25</v>
      </c>
      <c r="K186" t="str">
        <f t="shared" si="4"/>
        <v>Under 25</v>
      </c>
      <c r="L186" t="str">
        <f t="shared" si="5"/>
        <v>2023-02</v>
      </c>
    </row>
    <row r="187" spans="1:12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f>Table1[[#This Row],[Quantity]]*Table1[[#This Row],[Price per Unit]]</f>
        <v>200</v>
      </c>
      <c r="K187" t="str">
        <f t="shared" si="4"/>
        <v>Under 25</v>
      </c>
      <c r="L187" t="str">
        <f t="shared" si="5"/>
        <v>2023-07</v>
      </c>
    </row>
    <row r="188" spans="1:12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f>Table1[[#This Row],[Quantity]]*Table1[[#This Row],[Price per Unit]]</f>
        <v>100</v>
      </c>
      <c r="K188" t="str">
        <f t="shared" si="4"/>
        <v>55+</v>
      </c>
      <c r="L188" t="str">
        <f t="shared" si="5"/>
        <v>2023-06</v>
      </c>
    </row>
    <row r="189" spans="1:12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f>Table1[[#This Row],[Quantity]]*Table1[[#This Row],[Price per Unit]]</f>
        <v>75</v>
      </c>
      <c r="K189" t="str">
        <f t="shared" si="4"/>
        <v>35–44</v>
      </c>
      <c r="L189" t="str">
        <f t="shared" si="5"/>
        <v>2023-05</v>
      </c>
    </row>
    <row r="190" spans="1:12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f>Table1[[#This Row],[Quantity]]*Table1[[#This Row],[Price per Unit]]</f>
        <v>50</v>
      </c>
      <c r="K190" t="str">
        <f t="shared" si="4"/>
        <v>55+</v>
      </c>
      <c r="L190" t="str">
        <f t="shared" si="5"/>
        <v>2023-01</v>
      </c>
    </row>
    <row r="191" spans="1:12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f>Table1[[#This Row],[Quantity]]*Table1[[#This Row],[Price per Unit]]</f>
        <v>90</v>
      </c>
      <c r="K191" t="str">
        <f t="shared" si="4"/>
        <v>55+</v>
      </c>
      <c r="L191" t="str">
        <f t="shared" si="5"/>
        <v>2023-05</v>
      </c>
    </row>
    <row r="192" spans="1:12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f>Table1[[#This Row],[Quantity]]*Table1[[#This Row],[Price per Unit]]</f>
        <v>25</v>
      </c>
      <c r="K192" t="str">
        <f t="shared" si="4"/>
        <v>55+</v>
      </c>
      <c r="L192" t="str">
        <f t="shared" si="5"/>
        <v>2023-10</v>
      </c>
    </row>
    <row r="193" spans="1:12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f>Table1[[#This Row],[Quantity]]*Table1[[#This Row],[Price per Unit]]</f>
        <v>100</v>
      </c>
      <c r="K193" t="str">
        <f t="shared" si="4"/>
        <v>55+</v>
      </c>
      <c r="L193" t="str">
        <f t="shared" si="5"/>
        <v>2023-02</v>
      </c>
    </row>
    <row r="194" spans="1:12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f>Table1[[#This Row],[Quantity]]*Table1[[#This Row],[Price per Unit]]</f>
        <v>1500</v>
      </c>
      <c r="K194" t="str">
        <f t="shared" ref="K194:K257" si="6">IF(E194&lt;25,"Under 25",
IF(E194&lt;35,"25–34",
IF(E194&lt;45,"35–44",
IF(E194&lt;55,"45–54","55+"))))</f>
        <v>35–44</v>
      </c>
      <c r="L194" t="str">
        <f t="shared" ref="L194:L257" si="7">TEXT(B194,"yyyy-mm")</f>
        <v>2023-02</v>
      </c>
    </row>
    <row r="195" spans="1:12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f>Table1[[#This Row],[Quantity]]*Table1[[#This Row],[Price per Unit]]</f>
        <v>200</v>
      </c>
      <c r="K195" t="str">
        <f t="shared" si="6"/>
        <v>55+</v>
      </c>
      <c r="L195" t="str">
        <f t="shared" si="7"/>
        <v>2023-09</v>
      </c>
    </row>
    <row r="196" spans="1:12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f>Table1[[#This Row],[Quantity]]*Table1[[#This Row],[Price per Unit]]</f>
        <v>30</v>
      </c>
      <c r="K196" t="str">
        <f t="shared" si="6"/>
        <v>45–54</v>
      </c>
      <c r="L196" t="str">
        <f t="shared" si="7"/>
        <v>2023-02</v>
      </c>
    </row>
    <row r="197" spans="1:12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f>Table1[[#This Row],[Quantity]]*Table1[[#This Row],[Price per Unit]]</f>
        <v>900</v>
      </c>
      <c r="K197" t="str">
        <f t="shared" si="6"/>
        <v>25–34</v>
      </c>
      <c r="L197" t="str">
        <f t="shared" si="7"/>
        <v>2023-09</v>
      </c>
    </row>
    <row r="198" spans="1:12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f>Table1[[#This Row],[Quantity]]*Table1[[#This Row],[Price per Unit]]</f>
        <v>200</v>
      </c>
      <c r="K198" t="str">
        <f t="shared" si="6"/>
        <v>35–44</v>
      </c>
      <c r="L198" t="str">
        <f t="shared" si="7"/>
        <v>2023-03</v>
      </c>
    </row>
    <row r="199" spans="1:12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f>Table1[[#This Row],[Quantity]]*Table1[[#This Row],[Price per Unit]]</f>
        <v>900</v>
      </c>
      <c r="K199" t="str">
        <f t="shared" si="6"/>
        <v>45–54</v>
      </c>
      <c r="L199" t="str">
        <f t="shared" si="7"/>
        <v>2023-03</v>
      </c>
    </row>
    <row r="200" spans="1:12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f>Table1[[#This Row],[Quantity]]*Table1[[#This Row],[Price per Unit]]</f>
        <v>1500</v>
      </c>
      <c r="K200" t="str">
        <f t="shared" si="6"/>
        <v>45–54</v>
      </c>
      <c r="L200" t="str">
        <f t="shared" si="7"/>
        <v>2023-12</v>
      </c>
    </row>
    <row r="201" spans="1:12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f>Table1[[#This Row],[Quantity]]*Table1[[#This Row],[Price per Unit]]</f>
        <v>150</v>
      </c>
      <c r="K201" t="str">
        <f t="shared" si="6"/>
        <v>25–34</v>
      </c>
      <c r="L201" t="str">
        <f t="shared" si="7"/>
        <v>2023-09</v>
      </c>
    </row>
    <row r="202" spans="1:12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f>Table1[[#This Row],[Quantity]]*Table1[[#This Row],[Price per Unit]]</f>
        <v>25</v>
      </c>
      <c r="K202" t="str">
        <f t="shared" si="6"/>
        <v>55+</v>
      </c>
      <c r="L202" t="str">
        <f t="shared" si="7"/>
        <v>2023-10</v>
      </c>
    </row>
    <row r="203" spans="1:12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f>Table1[[#This Row],[Quantity]]*Table1[[#This Row],[Price per Unit]]</f>
        <v>1200</v>
      </c>
      <c r="K203" t="str">
        <f t="shared" si="6"/>
        <v>25–34</v>
      </c>
      <c r="L203" t="str">
        <f t="shared" si="7"/>
        <v>2023-03</v>
      </c>
    </row>
    <row r="204" spans="1:12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f>Table1[[#This Row],[Quantity]]*Table1[[#This Row],[Price per Unit]]</f>
        <v>1000</v>
      </c>
      <c r="K204" t="str">
        <f t="shared" si="6"/>
        <v>55+</v>
      </c>
      <c r="L204" t="str">
        <f t="shared" si="7"/>
        <v>2023-05</v>
      </c>
    </row>
    <row r="205" spans="1:12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f>Table1[[#This Row],[Quantity]]*Table1[[#This Row],[Price per Unit]]</f>
        <v>25</v>
      </c>
      <c r="K205" t="str">
        <f t="shared" si="6"/>
        <v>35–44</v>
      </c>
      <c r="L205" t="str">
        <f t="shared" si="7"/>
        <v>2023-09</v>
      </c>
    </row>
    <row r="206" spans="1:12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f>Table1[[#This Row],[Quantity]]*Table1[[#This Row],[Price per Unit]]</f>
        <v>25</v>
      </c>
      <c r="K206" t="str">
        <f t="shared" si="6"/>
        <v>35–44</v>
      </c>
      <c r="L206" t="str">
        <f t="shared" si="7"/>
        <v>2023-11</v>
      </c>
    </row>
    <row r="207" spans="1:12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f>Table1[[#This Row],[Quantity]]*Table1[[#This Row],[Price per Unit]]</f>
        <v>25</v>
      </c>
      <c r="K207" t="str">
        <f t="shared" si="6"/>
        <v>55+</v>
      </c>
      <c r="L207" t="str">
        <f t="shared" si="7"/>
        <v>2023-08</v>
      </c>
    </row>
    <row r="208" spans="1:12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f>Table1[[#This Row],[Quantity]]*Table1[[#This Row],[Price per Unit]]</f>
        <v>50</v>
      </c>
      <c r="K208" t="str">
        <f t="shared" si="6"/>
        <v>35–44</v>
      </c>
      <c r="L208" t="str">
        <f t="shared" si="7"/>
        <v>2023-04</v>
      </c>
    </row>
    <row r="209" spans="1:12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f>Table1[[#This Row],[Quantity]]*Table1[[#This Row],[Price per Unit]]</f>
        <v>200</v>
      </c>
      <c r="K209" t="str">
        <f t="shared" si="6"/>
        <v>25–34</v>
      </c>
      <c r="L209" t="str">
        <f t="shared" si="7"/>
        <v>2023-10</v>
      </c>
    </row>
    <row r="210" spans="1:12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f>Table1[[#This Row],[Quantity]]*Table1[[#This Row],[Price per Unit]]</f>
        <v>200</v>
      </c>
      <c r="K210" t="str">
        <f t="shared" si="6"/>
        <v>25–34</v>
      </c>
      <c r="L210" t="str">
        <f t="shared" si="7"/>
        <v>2023-12</v>
      </c>
    </row>
    <row r="211" spans="1:12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f>Table1[[#This Row],[Quantity]]*Table1[[#This Row],[Price per Unit]]</f>
        <v>200</v>
      </c>
      <c r="K211" t="str">
        <f t="shared" si="6"/>
        <v>35–44</v>
      </c>
      <c r="L211" t="str">
        <f t="shared" si="7"/>
        <v>2023-04</v>
      </c>
    </row>
    <row r="212" spans="1:12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f>Table1[[#This Row],[Quantity]]*Table1[[#This Row],[Price per Unit]]</f>
        <v>1500</v>
      </c>
      <c r="K212" t="str">
        <f t="shared" si="6"/>
        <v>35–44</v>
      </c>
      <c r="L212" t="str">
        <f t="shared" si="7"/>
        <v>2024-01</v>
      </c>
    </row>
    <row r="213" spans="1:12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f>Table1[[#This Row],[Quantity]]*Table1[[#This Row],[Price per Unit]]</f>
        <v>1500</v>
      </c>
      <c r="K213" t="str">
        <f t="shared" si="6"/>
        <v>Under 25</v>
      </c>
      <c r="L213" t="str">
        <f t="shared" si="7"/>
        <v>2023-06</v>
      </c>
    </row>
    <row r="214" spans="1:12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f>Table1[[#This Row],[Quantity]]*Table1[[#This Row],[Price per Unit]]</f>
        <v>1500</v>
      </c>
      <c r="K214" t="str">
        <f t="shared" si="6"/>
        <v>25–34</v>
      </c>
      <c r="L214" t="str">
        <f t="shared" si="7"/>
        <v>2023-07</v>
      </c>
    </row>
    <row r="215" spans="1:12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f>Table1[[#This Row],[Quantity]]*Table1[[#This Row],[Price per Unit]]</f>
        <v>60</v>
      </c>
      <c r="K215" t="str">
        <f t="shared" si="6"/>
        <v>Under 25</v>
      </c>
      <c r="L215" t="str">
        <f t="shared" si="7"/>
        <v>2023-12</v>
      </c>
    </row>
    <row r="216" spans="1:12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f>Table1[[#This Row],[Quantity]]*Table1[[#This Row],[Price per Unit]]</f>
        <v>1500</v>
      </c>
      <c r="K216" t="str">
        <f t="shared" si="6"/>
        <v>55+</v>
      </c>
      <c r="L216" t="str">
        <f t="shared" si="7"/>
        <v>2023-11</v>
      </c>
    </row>
    <row r="217" spans="1:12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f>Table1[[#This Row],[Quantity]]*Table1[[#This Row],[Price per Unit]]</f>
        <v>100</v>
      </c>
      <c r="K217" t="str">
        <f t="shared" si="6"/>
        <v>55+</v>
      </c>
      <c r="L217" t="str">
        <f t="shared" si="7"/>
        <v>2023-07</v>
      </c>
    </row>
    <row r="218" spans="1:12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f>Table1[[#This Row],[Quantity]]*Table1[[#This Row],[Price per Unit]]</f>
        <v>200</v>
      </c>
      <c r="K218" t="str">
        <f t="shared" si="6"/>
        <v>35–44</v>
      </c>
      <c r="L218" t="str">
        <f t="shared" si="7"/>
        <v>2023-08</v>
      </c>
    </row>
    <row r="219" spans="1:12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f>Table1[[#This Row],[Quantity]]*Table1[[#This Row],[Price per Unit]]</f>
        <v>90</v>
      </c>
      <c r="K219" t="str">
        <f t="shared" si="6"/>
        <v>55+</v>
      </c>
      <c r="L219" t="str">
        <f t="shared" si="7"/>
        <v>2023-09</v>
      </c>
    </row>
    <row r="220" spans="1:12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f>Table1[[#This Row],[Quantity]]*Table1[[#This Row],[Price per Unit]]</f>
        <v>90</v>
      </c>
      <c r="K220" t="str">
        <f t="shared" si="6"/>
        <v>45–54</v>
      </c>
      <c r="L220" t="str">
        <f t="shared" si="7"/>
        <v>2023-08</v>
      </c>
    </row>
    <row r="221" spans="1:12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f>Table1[[#This Row],[Quantity]]*Table1[[#This Row],[Price per Unit]]</f>
        <v>500</v>
      </c>
      <c r="K221" t="str">
        <f t="shared" si="6"/>
        <v>55+</v>
      </c>
      <c r="L221" t="str">
        <f t="shared" si="7"/>
        <v>2023-03</v>
      </c>
    </row>
    <row r="222" spans="1:12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f>Table1[[#This Row],[Quantity]]*Table1[[#This Row],[Price per Unit]]</f>
        <v>600</v>
      </c>
      <c r="K222" t="str">
        <f t="shared" si="6"/>
        <v>35–44</v>
      </c>
      <c r="L222" t="str">
        <f t="shared" si="7"/>
        <v>2023-05</v>
      </c>
    </row>
    <row r="223" spans="1:12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f>Table1[[#This Row],[Quantity]]*Table1[[#This Row],[Price per Unit]]</f>
        <v>120</v>
      </c>
      <c r="K223" t="str">
        <f t="shared" si="6"/>
        <v>45–54</v>
      </c>
      <c r="L223" t="str">
        <f t="shared" si="7"/>
        <v>2023-04</v>
      </c>
    </row>
    <row r="224" spans="1:12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f>Table1[[#This Row],[Quantity]]*Table1[[#This Row],[Price per Unit]]</f>
        <v>25</v>
      </c>
      <c r="K224" t="str">
        <f t="shared" si="6"/>
        <v>55+</v>
      </c>
      <c r="L224" t="str">
        <f t="shared" si="7"/>
        <v>2023-02</v>
      </c>
    </row>
    <row r="225" spans="1:12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f>Table1[[#This Row],[Quantity]]*Table1[[#This Row],[Price per Unit]]</f>
        <v>50</v>
      </c>
      <c r="K225" t="str">
        <f t="shared" si="6"/>
        <v>25–34</v>
      </c>
      <c r="L225" t="str">
        <f t="shared" si="7"/>
        <v>2023-06</v>
      </c>
    </row>
    <row r="226" spans="1:12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f>Table1[[#This Row],[Quantity]]*Table1[[#This Row],[Price per Unit]]</f>
        <v>100</v>
      </c>
      <c r="K226" t="str">
        <f t="shared" si="6"/>
        <v>55+</v>
      </c>
      <c r="L226" t="str">
        <f t="shared" si="7"/>
        <v>2023-01</v>
      </c>
    </row>
    <row r="227" spans="1:12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f>Table1[[#This Row],[Quantity]]*Table1[[#This Row],[Price per Unit]]</f>
        <v>50</v>
      </c>
      <c r="K227" t="str">
        <f t="shared" si="6"/>
        <v>55+</v>
      </c>
      <c r="L227" t="str">
        <f t="shared" si="7"/>
        <v>2023-10</v>
      </c>
    </row>
    <row r="228" spans="1:12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f>Table1[[#This Row],[Quantity]]*Table1[[#This Row],[Price per Unit]]</f>
        <v>100</v>
      </c>
      <c r="K228" t="str">
        <f t="shared" si="6"/>
        <v>35–44</v>
      </c>
      <c r="L228" t="str">
        <f t="shared" si="7"/>
        <v>2023-10</v>
      </c>
    </row>
    <row r="229" spans="1:12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f>Table1[[#This Row],[Quantity]]*Table1[[#This Row],[Price per Unit]]</f>
        <v>60</v>
      </c>
      <c r="K229" t="str">
        <f t="shared" si="6"/>
        <v>55+</v>
      </c>
      <c r="L229" t="str">
        <f t="shared" si="7"/>
        <v>2023-04</v>
      </c>
    </row>
    <row r="230" spans="1:12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f>Table1[[#This Row],[Quantity]]*Table1[[#This Row],[Price per Unit]]</f>
        <v>90</v>
      </c>
      <c r="K230" t="str">
        <f t="shared" si="6"/>
        <v>55+</v>
      </c>
      <c r="L230" t="str">
        <f t="shared" si="7"/>
        <v>2023-10</v>
      </c>
    </row>
    <row r="231" spans="1:12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f>Table1[[#This Row],[Quantity]]*Table1[[#This Row],[Price per Unit]]</f>
        <v>25</v>
      </c>
      <c r="K231" t="str">
        <f t="shared" si="6"/>
        <v>45–54</v>
      </c>
      <c r="L231" t="str">
        <f t="shared" si="7"/>
        <v>2023-04</v>
      </c>
    </row>
    <row r="232" spans="1:12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f>Table1[[#This Row],[Quantity]]*Table1[[#This Row],[Price per Unit]]</f>
        <v>150</v>
      </c>
      <c r="K232" t="str">
        <f t="shared" si="6"/>
        <v>Under 25</v>
      </c>
      <c r="L232" t="str">
        <f t="shared" si="7"/>
        <v>2023-01</v>
      </c>
    </row>
    <row r="233" spans="1:12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f>Table1[[#This Row],[Quantity]]*Table1[[#This Row],[Price per Unit]]</f>
        <v>25</v>
      </c>
      <c r="K233" t="str">
        <f t="shared" si="6"/>
        <v>35–44</v>
      </c>
      <c r="L233" t="str">
        <f t="shared" si="7"/>
        <v>2023-02</v>
      </c>
    </row>
    <row r="234" spans="1:12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f>Table1[[#This Row],[Quantity]]*Table1[[#This Row],[Price per Unit]]</f>
        <v>600</v>
      </c>
      <c r="K234" t="str">
        <f t="shared" si="6"/>
        <v>45–54</v>
      </c>
      <c r="L234" t="str">
        <f t="shared" si="7"/>
        <v>2023-12</v>
      </c>
    </row>
    <row r="235" spans="1:12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f>Table1[[#This Row],[Quantity]]*Table1[[#This Row],[Price per Unit]]</f>
        <v>50</v>
      </c>
      <c r="K235" t="str">
        <f t="shared" si="6"/>
        <v>55+</v>
      </c>
      <c r="L235" t="str">
        <f t="shared" si="7"/>
        <v>2023-11</v>
      </c>
    </row>
    <row r="236" spans="1:12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f>Table1[[#This Row],[Quantity]]*Table1[[#This Row],[Price per Unit]]</f>
        <v>1000</v>
      </c>
      <c r="K236" t="str">
        <f t="shared" si="6"/>
        <v>Under 25</v>
      </c>
      <c r="L236" t="str">
        <f t="shared" si="7"/>
        <v>2023-01</v>
      </c>
    </row>
    <row r="237" spans="1:12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f>Table1[[#This Row],[Quantity]]*Table1[[#This Row],[Price per Unit]]</f>
        <v>25</v>
      </c>
      <c r="K237" t="str">
        <f t="shared" si="6"/>
        <v>45–54</v>
      </c>
      <c r="L237" t="str">
        <f t="shared" si="7"/>
        <v>2023-04</v>
      </c>
    </row>
    <row r="238" spans="1:12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f>Table1[[#This Row],[Quantity]]*Table1[[#This Row],[Price per Unit]]</f>
        <v>1000</v>
      </c>
      <c r="K238" t="str">
        <f t="shared" si="6"/>
        <v>45–54</v>
      </c>
      <c r="L238" t="str">
        <f t="shared" si="7"/>
        <v>2023-02</v>
      </c>
    </row>
    <row r="239" spans="1:12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f>Table1[[#This Row],[Quantity]]*Table1[[#This Row],[Price per Unit]]</f>
        <v>500</v>
      </c>
      <c r="K239" t="str">
        <f t="shared" si="6"/>
        <v>35–44</v>
      </c>
      <c r="L239" t="str">
        <f t="shared" si="7"/>
        <v>2023-01</v>
      </c>
    </row>
    <row r="240" spans="1:12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f>Table1[[#This Row],[Quantity]]*Table1[[#This Row],[Price per Unit]]</f>
        <v>1500</v>
      </c>
      <c r="K240" t="str">
        <f t="shared" si="6"/>
        <v>35–44</v>
      </c>
      <c r="L240" t="str">
        <f t="shared" si="7"/>
        <v>2023-06</v>
      </c>
    </row>
    <row r="241" spans="1:12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f>Table1[[#This Row],[Quantity]]*Table1[[#This Row],[Price per Unit]]</f>
        <v>300</v>
      </c>
      <c r="K241" t="str">
        <f t="shared" si="6"/>
        <v>Under 25</v>
      </c>
      <c r="L241" t="str">
        <f t="shared" si="7"/>
        <v>2023-02</v>
      </c>
    </row>
    <row r="242" spans="1:12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f>Table1[[#This Row],[Quantity]]*Table1[[#This Row],[Price per Unit]]</f>
        <v>75</v>
      </c>
      <c r="K242" t="str">
        <f t="shared" si="6"/>
        <v>Under 25</v>
      </c>
      <c r="L242" t="str">
        <f t="shared" si="7"/>
        <v>2023-09</v>
      </c>
    </row>
    <row r="243" spans="1:12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f>Table1[[#This Row],[Quantity]]*Table1[[#This Row],[Price per Unit]]</f>
        <v>25</v>
      </c>
      <c r="K243" t="str">
        <f t="shared" si="6"/>
        <v>Under 25</v>
      </c>
      <c r="L243" t="str">
        <f t="shared" si="7"/>
        <v>2023-05</v>
      </c>
    </row>
    <row r="244" spans="1:12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f>Table1[[#This Row],[Quantity]]*Table1[[#This Row],[Price per Unit]]</f>
        <v>900</v>
      </c>
      <c r="K244" t="str">
        <f t="shared" si="6"/>
        <v>45–54</v>
      </c>
      <c r="L244" t="str">
        <f t="shared" si="7"/>
        <v>2023-05</v>
      </c>
    </row>
    <row r="245" spans="1:12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f>Table1[[#This Row],[Quantity]]*Table1[[#This Row],[Price per Unit]]</f>
        <v>100</v>
      </c>
      <c r="K245" t="str">
        <f t="shared" si="6"/>
        <v>25–34</v>
      </c>
      <c r="L245" t="str">
        <f t="shared" si="7"/>
        <v>2023-12</v>
      </c>
    </row>
    <row r="246" spans="1:12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f>Table1[[#This Row],[Quantity]]*Table1[[#This Row],[Price per Unit]]</f>
        <v>90</v>
      </c>
      <c r="K246" t="str">
        <f t="shared" si="6"/>
        <v>45–54</v>
      </c>
      <c r="L246" t="str">
        <f t="shared" si="7"/>
        <v>2023-09</v>
      </c>
    </row>
    <row r="247" spans="1:12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f>Table1[[#This Row],[Quantity]]*Table1[[#This Row],[Price per Unit]]</f>
        <v>50</v>
      </c>
      <c r="K247" t="str">
        <f t="shared" si="6"/>
        <v>45–54</v>
      </c>
      <c r="L247" t="str">
        <f t="shared" si="7"/>
        <v>2023-04</v>
      </c>
    </row>
    <row r="248" spans="1:12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f>Table1[[#This Row],[Quantity]]*Table1[[#This Row],[Price per Unit]]</f>
        <v>60</v>
      </c>
      <c r="K248" t="str">
        <f t="shared" si="6"/>
        <v>35–44</v>
      </c>
      <c r="L248" t="str">
        <f t="shared" si="7"/>
        <v>2023-10</v>
      </c>
    </row>
    <row r="249" spans="1:12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f>Table1[[#This Row],[Quantity]]*Table1[[#This Row],[Price per Unit]]</f>
        <v>900</v>
      </c>
      <c r="K249" t="str">
        <f t="shared" si="6"/>
        <v>25–34</v>
      </c>
      <c r="L249" t="str">
        <f t="shared" si="7"/>
        <v>2023-03</v>
      </c>
    </row>
    <row r="250" spans="1:12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f>Table1[[#This Row],[Quantity]]*Table1[[#This Row],[Price per Unit]]</f>
        <v>50</v>
      </c>
      <c r="K250" t="str">
        <f t="shared" si="6"/>
        <v>Under 25</v>
      </c>
      <c r="L250" t="str">
        <f t="shared" si="7"/>
        <v>2023-10</v>
      </c>
    </row>
    <row r="251" spans="1:12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f>Table1[[#This Row],[Quantity]]*Table1[[#This Row],[Price per Unit]]</f>
        <v>50</v>
      </c>
      <c r="K251" t="str">
        <f t="shared" si="6"/>
        <v>45–54</v>
      </c>
      <c r="L251" t="str">
        <f t="shared" si="7"/>
        <v>2023-10</v>
      </c>
    </row>
    <row r="252" spans="1:12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f>Table1[[#This Row],[Quantity]]*Table1[[#This Row],[Price per Unit]]</f>
        <v>200</v>
      </c>
      <c r="K252" t="str">
        <f t="shared" si="6"/>
        <v>55+</v>
      </c>
      <c r="L252" t="str">
        <f t="shared" si="7"/>
        <v>2023-08</v>
      </c>
    </row>
    <row r="253" spans="1:12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f>Table1[[#This Row],[Quantity]]*Table1[[#This Row],[Price per Unit]]</f>
        <v>300</v>
      </c>
      <c r="K253" t="str">
        <f t="shared" si="6"/>
        <v>45–54</v>
      </c>
      <c r="L253" t="str">
        <f t="shared" si="7"/>
        <v>2023-05</v>
      </c>
    </row>
    <row r="254" spans="1:12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f>Table1[[#This Row],[Quantity]]*Table1[[#This Row],[Price per Unit]]</f>
        <v>2000</v>
      </c>
      <c r="K254" t="str">
        <f t="shared" si="6"/>
        <v>45–54</v>
      </c>
      <c r="L254" t="str">
        <f t="shared" si="7"/>
        <v>2023-08</v>
      </c>
    </row>
    <row r="255" spans="1:12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f>Table1[[#This Row],[Quantity]]*Table1[[#This Row],[Price per Unit]]</f>
        <v>500</v>
      </c>
      <c r="K255" t="str">
        <f t="shared" si="6"/>
        <v>35–44</v>
      </c>
      <c r="L255" t="str">
        <f t="shared" si="7"/>
        <v>2023-07</v>
      </c>
    </row>
    <row r="256" spans="1:12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f>Table1[[#This Row],[Quantity]]*Table1[[#This Row],[Price per Unit]]</f>
        <v>30</v>
      </c>
      <c r="K256" t="str">
        <f t="shared" si="6"/>
        <v>45–54</v>
      </c>
      <c r="L256" t="str">
        <f t="shared" si="7"/>
        <v>2023-04</v>
      </c>
    </row>
    <row r="257" spans="1:12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f>Table1[[#This Row],[Quantity]]*Table1[[#This Row],[Price per Unit]]</f>
        <v>1000</v>
      </c>
      <c r="K257" t="str">
        <f t="shared" si="6"/>
        <v>Under 25</v>
      </c>
      <c r="L257" t="str">
        <f t="shared" si="7"/>
        <v>2023-02</v>
      </c>
    </row>
    <row r="258" spans="1:12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f>Table1[[#This Row],[Quantity]]*Table1[[#This Row],[Price per Unit]]</f>
        <v>2000</v>
      </c>
      <c r="K258" t="str">
        <f t="shared" ref="K258:K321" si="8">IF(E258&lt;25,"Under 25",
IF(E258&lt;35,"25–34",
IF(E258&lt;45,"35–44",
IF(E258&lt;55,"45–54","55+"))))</f>
        <v>Under 25</v>
      </c>
      <c r="L258" t="str">
        <f t="shared" ref="L258:L321" si="9">TEXT(B258,"yyyy-mm")</f>
        <v>2023-02</v>
      </c>
    </row>
    <row r="259" spans="1:12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f>Table1[[#This Row],[Quantity]]*Table1[[#This Row],[Price per Unit]]</f>
        <v>50</v>
      </c>
      <c r="K259" t="str">
        <f t="shared" si="8"/>
        <v>35–44</v>
      </c>
      <c r="L259" t="str">
        <f t="shared" si="9"/>
        <v>2023-12</v>
      </c>
    </row>
    <row r="260" spans="1:12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f>Table1[[#This Row],[Quantity]]*Table1[[#This Row],[Price per Unit]]</f>
        <v>200</v>
      </c>
      <c r="K260" t="str">
        <f t="shared" si="8"/>
        <v>45–54</v>
      </c>
      <c r="L260" t="str">
        <f t="shared" si="9"/>
        <v>2023-08</v>
      </c>
    </row>
    <row r="261" spans="1:12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f>Table1[[#This Row],[Quantity]]*Table1[[#This Row],[Price per Unit]]</f>
        <v>60</v>
      </c>
      <c r="K261" t="str">
        <f t="shared" si="8"/>
        <v>25–34</v>
      </c>
      <c r="L261" t="str">
        <f t="shared" si="9"/>
        <v>2023-07</v>
      </c>
    </row>
    <row r="262" spans="1:12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f>Table1[[#This Row],[Quantity]]*Table1[[#This Row],[Price per Unit]]</f>
        <v>50</v>
      </c>
      <c r="K262" t="str">
        <f t="shared" si="8"/>
        <v>Under 25</v>
      </c>
      <c r="L262" t="str">
        <f t="shared" si="9"/>
        <v>2023-08</v>
      </c>
    </row>
    <row r="263" spans="1:12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f>Table1[[#This Row],[Quantity]]*Table1[[#This Row],[Price per Unit]]</f>
        <v>120</v>
      </c>
      <c r="K263" t="str">
        <f t="shared" si="8"/>
        <v>25–34</v>
      </c>
      <c r="L263" t="str">
        <f t="shared" si="9"/>
        <v>2023-07</v>
      </c>
    </row>
    <row r="264" spans="1:12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f>Table1[[#This Row],[Quantity]]*Table1[[#This Row],[Price per Unit]]</f>
        <v>60</v>
      </c>
      <c r="K264" t="str">
        <f t="shared" si="8"/>
        <v>Under 25</v>
      </c>
      <c r="L264" t="str">
        <f t="shared" si="9"/>
        <v>2023-08</v>
      </c>
    </row>
    <row r="265" spans="1:12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f>Table1[[#This Row],[Quantity]]*Table1[[#This Row],[Price per Unit]]</f>
        <v>900</v>
      </c>
      <c r="K265" t="str">
        <f t="shared" si="8"/>
        <v>45–54</v>
      </c>
      <c r="L265" t="str">
        <f t="shared" si="9"/>
        <v>2023-01</v>
      </c>
    </row>
    <row r="266" spans="1:12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f>Table1[[#This Row],[Quantity]]*Table1[[#This Row],[Price per Unit]]</f>
        <v>900</v>
      </c>
      <c r="K266" t="str">
        <f t="shared" si="8"/>
        <v>55+</v>
      </c>
      <c r="L266" t="str">
        <f t="shared" si="9"/>
        <v>2023-12</v>
      </c>
    </row>
    <row r="267" spans="1:12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f>Table1[[#This Row],[Quantity]]*Table1[[#This Row],[Price per Unit]]</f>
        <v>60</v>
      </c>
      <c r="K267" t="str">
        <f t="shared" si="8"/>
        <v>Under 25</v>
      </c>
      <c r="L267" t="str">
        <f t="shared" si="9"/>
        <v>2023-12</v>
      </c>
    </row>
    <row r="268" spans="1:12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f>Table1[[#This Row],[Quantity]]*Table1[[#This Row],[Price per Unit]]</f>
        <v>90</v>
      </c>
      <c r="K268" t="str">
        <f t="shared" si="8"/>
        <v>25–34</v>
      </c>
      <c r="L268" t="str">
        <f t="shared" si="9"/>
        <v>2023-11</v>
      </c>
    </row>
    <row r="269" spans="1:12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f>Table1[[#This Row],[Quantity]]*Table1[[#This Row],[Price per Unit]]</f>
        <v>30</v>
      </c>
      <c r="K269" t="str">
        <f t="shared" si="8"/>
        <v>25–34</v>
      </c>
      <c r="L269" t="str">
        <f t="shared" si="9"/>
        <v>2023-02</v>
      </c>
    </row>
    <row r="270" spans="1:12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f>Table1[[#This Row],[Quantity]]*Table1[[#This Row],[Price per Unit]]</f>
        <v>2000</v>
      </c>
      <c r="K270" t="str">
        <f t="shared" si="8"/>
        <v>25–34</v>
      </c>
      <c r="L270" t="str">
        <f t="shared" si="9"/>
        <v>2023-02</v>
      </c>
    </row>
    <row r="271" spans="1:12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f>Table1[[#This Row],[Quantity]]*Table1[[#This Row],[Price per Unit]]</f>
        <v>300</v>
      </c>
      <c r="K271" t="str">
        <f t="shared" si="8"/>
        <v>35–44</v>
      </c>
      <c r="L271" t="str">
        <f t="shared" si="9"/>
        <v>2023-07</v>
      </c>
    </row>
    <row r="272" spans="1:12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f>Table1[[#This Row],[Quantity]]*Table1[[#This Row],[Price per Unit]]</f>
        <v>120</v>
      </c>
      <c r="K272" t="str">
        <f t="shared" si="8"/>
        <v>55+</v>
      </c>
      <c r="L272" t="str">
        <f t="shared" si="9"/>
        <v>2023-06</v>
      </c>
    </row>
    <row r="273" spans="1:12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f>Table1[[#This Row],[Quantity]]*Table1[[#This Row],[Price per Unit]]</f>
        <v>100</v>
      </c>
      <c r="K273" t="str">
        <f t="shared" si="8"/>
        <v>55+</v>
      </c>
      <c r="L273" t="str">
        <f t="shared" si="9"/>
        <v>2023-02</v>
      </c>
    </row>
    <row r="274" spans="1:12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f>Table1[[#This Row],[Quantity]]*Table1[[#This Row],[Price per Unit]]</f>
        <v>50</v>
      </c>
      <c r="K274" t="str">
        <f t="shared" si="8"/>
        <v>Under 25</v>
      </c>
      <c r="L274" t="str">
        <f t="shared" si="9"/>
        <v>2023-05</v>
      </c>
    </row>
    <row r="275" spans="1:12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f>Table1[[#This Row],[Quantity]]*Table1[[#This Row],[Price per Unit]]</f>
        <v>1000</v>
      </c>
      <c r="K275" t="str">
        <f t="shared" si="8"/>
        <v>Under 25</v>
      </c>
      <c r="L275" t="str">
        <f t="shared" si="9"/>
        <v>2023-04</v>
      </c>
    </row>
    <row r="276" spans="1:12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f>Table1[[#This Row],[Quantity]]*Table1[[#This Row],[Price per Unit]]</f>
        <v>1000</v>
      </c>
      <c r="K276" t="str">
        <f t="shared" si="8"/>
        <v>35–44</v>
      </c>
      <c r="L276" t="str">
        <f t="shared" si="9"/>
        <v>2023-04</v>
      </c>
    </row>
    <row r="277" spans="1:12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f>Table1[[#This Row],[Quantity]]*Table1[[#This Row],[Price per Unit]]</f>
        <v>100</v>
      </c>
      <c r="K277" t="str">
        <f t="shared" si="8"/>
        <v>Under 25</v>
      </c>
      <c r="L277" t="str">
        <f t="shared" si="9"/>
        <v>2023-10</v>
      </c>
    </row>
    <row r="278" spans="1:12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f>Table1[[#This Row],[Quantity]]*Table1[[#This Row],[Price per Unit]]</f>
        <v>100</v>
      </c>
      <c r="K278" t="str">
        <f t="shared" si="8"/>
        <v>35–44</v>
      </c>
      <c r="L278" t="str">
        <f t="shared" si="9"/>
        <v>2023-08</v>
      </c>
    </row>
    <row r="279" spans="1:12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f>Table1[[#This Row],[Quantity]]*Table1[[#This Row],[Price per Unit]]</f>
        <v>100</v>
      </c>
      <c r="K279" t="str">
        <f t="shared" si="8"/>
        <v>35–44</v>
      </c>
      <c r="L279" t="str">
        <f t="shared" si="9"/>
        <v>2023-03</v>
      </c>
    </row>
    <row r="280" spans="1:12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f>Table1[[#This Row],[Quantity]]*Table1[[#This Row],[Price per Unit]]</f>
        <v>500</v>
      </c>
      <c r="K280" t="str">
        <f t="shared" si="8"/>
        <v>45–54</v>
      </c>
      <c r="L280" t="str">
        <f t="shared" si="9"/>
        <v>2023-08</v>
      </c>
    </row>
    <row r="281" spans="1:12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f>Table1[[#This Row],[Quantity]]*Table1[[#This Row],[Price per Unit]]</f>
        <v>1500</v>
      </c>
      <c r="K281" t="str">
        <f t="shared" si="8"/>
        <v>35–44</v>
      </c>
      <c r="L281" t="str">
        <f t="shared" si="9"/>
        <v>2023-04</v>
      </c>
    </row>
    <row r="282" spans="1:12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f>Table1[[#This Row],[Quantity]]*Table1[[#This Row],[Price per Unit]]</f>
        <v>2000</v>
      </c>
      <c r="K282" t="str">
        <f t="shared" si="8"/>
        <v>25–34</v>
      </c>
      <c r="L282" t="str">
        <f t="shared" si="9"/>
        <v>2023-05</v>
      </c>
    </row>
    <row r="283" spans="1:12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f>Table1[[#This Row],[Quantity]]*Table1[[#This Row],[Price per Unit]]</f>
        <v>200</v>
      </c>
      <c r="K283" t="str">
        <f t="shared" si="8"/>
        <v>55+</v>
      </c>
      <c r="L283" t="str">
        <f t="shared" si="9"/>
        <v>2023-08</v>
      </c>
    </row>
    <row r="284" spans="1:12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f>Table1[[#This Row],[Quantity]]*Table1[[#This Row],[Price per Unit]]</f>
        <v>500</v>
      </c>
      <c r="K284" t="str">
        <f t="shared" si="8"/>
        <v>Under 25</v>
      </c>
      <c r="L284" t="str">
        <f t="shared" si="9"/>
        <v>2023-05</v>
      </c>
    </row>
    <row r="285" spans="1:12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f>Table1[[#This Row],[Quantity]]*Table1[[#This Row],[Price per Unit]]</f>
        <v>200</v>
      </c>
      <c r="K285" t="str">
        <f t="shared" si="8"/>
        <v>35–44</v>
      </c>
      <c r="L285" t="str">
        <f t="shared" si="9"/>
        <v>2023-02</v>
      </c>
    </row>
    <row r="286" spans="1:12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f>Table1[[#This Row],[Quantity]]*Table1[[#This Row],[Price per Unit]]</f>
        <v>25</v>
      </c>
      <c r="K286" t="str">
        <f t="shared" si="8"/>
        <v>25–34</v>
      </c>
      <c r="L286" t="str">
        <f t="shared" si="9"/>
        <v>2023-08</v>
      </c>
    </row>
    <row r="287" spans="1:12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f>Table1[[#This Row],[Quantity]]*Table1[[#This Row],[Price per Unit]]</f>
        <v>50</v>
      </c>
      <c r="K287" t="str">
        <f t="shared" si="8"/>
        <v>55+</v>
      </c>
      <c r="L287" t="str">
        <f t="shared" si="9"/>
        <v>2023-10</v>
      </c>
    </row>
    <row r="288" spans="1:12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f>Table1[[#This Row],[Quantity]]*Table1[[#This Row],[Price per Unit]]</f>
        <v>100</v>
      </c>
      <c r="K288" t="str">
        <f t="shared" si="8"/>
        <v>45–54</v>
      </c>
      <c r="L288" t="str">
        <f t="shared" si="9"/>
        <v>2023-02</v>
      </c>
    </row>
    <row r="289" spans="1:12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f>Table1[[#This Row],[Quantity]]*Table1[[#This Row],[Price per Unit]]</f>
        <v>120</v>
      </c>
      <c r="K289" t="str">
        <f t="shared" si="8"/>
        <v>25–34</v>
      </c>
      <c r="L289" t="str">
        <f t="shared" si="9"/>
        <v>2023-01</v>
      </c>
    </row>
    <row r="290" spans="1:12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f>Table1[[#This Row],[Quantity]]*Table1[[#This Row],[Price per Unit]]</f>
        <v>60</v>
      </c>
      <c r="K290" t="str">
        <f t="shared" si="8"/>
        <v>45–54</v>
      </c>
      <c r="L290" t="str">
        <f t="shared" si="9"/>
        <v>2023-11</v>
      </c>
    </row>
    <row r="291" spans="1:12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f>Table1[[#This Row],[Quantity]]*Table1[[#This Row],[Price per Unit]]</f>
        <v>600</v>
      </c>
      <c r="K291" t="str">
        <f t="shared" si="8"/>
        <v>25–34</v>
      </c>
      <c r="L291" t="str">
        <f t="shared" si="9"/>
        <v>2023-10</v>
      </c>
    </row>
    <row r="292" spans="1:12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f>Table1[[#This Row],[Quantity]]*Table1[[#This Row],[Price per Unit]]</f>
        <v>600</v>
      </c>
      <c r="K292" t="str">
        <f t="shared" si="8"/>
        <v>55+</v>
      </c>
      <c r="L292" t="str">
        <f t="shared" si="9"/>
        <v>2023-01</v>
      </c>
    </row>
    <row r="293" spans="1:12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f>Table1[[#This Row],[Quantity]]*Table1[[#This Row],[Price per Unit]]</f>
        <v>1200</v>
      </c>
      <c r="K293" t="str">
        <f t="shared" si="8"/>
        <v>Under 25</v>
      </c>
      <c r="L293" t="str">
        <f t="shared" si="9"/>
        <v>2023-02</v>
      </c>
    </row>
    <row r="294" spans="1:12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f>Table1[[#This Row],[Quantity]]*Table1[[#This Row],[Price per Unit]]</f>
        <v>90</v>
      </c>
      <c r="K294" t="str">
        <f t="shared" si="8"/>
        <v>45–54</v>
      </c>
      <c r="L294" t="str">
        <f t="shared" si="9"/>
        <v>2023-05</v>
      </c>
    </row>
    <row r="295" spans="1:12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f>Table1[[#This Row],[Quantity]]*Table1[[#This Row],[Price per Unit]]</f>
        <v>90</v>
      </c>
      <c r="K295" t="str">
        <f t="shared" si="8"/>
        <v>Under 25</v>
      </c>
      <c r="L295" t="str">
        <f t="shared" si="9"/>
        <v>2023-03</v>
      </c>
    </row>
    <row r="296" spans="1:12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f>Table1[[#This Row],[Quantity]]*Table1[[#This Row],[Price per Unit]]</f>
        <v>900</v>
      </c>
      <c r="K296" t="str">
        <f t="shared" si="8"/>
        <v>25–34</v>
      </c>
      <c r="L296" t="str">
        <f t="shared" si="9"/>
        <v>2023-07</v>
      </c>
    </row>
    <row r="297" spans="1:12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f>Table1[[#This Row],[Quantity]]*Table1[[#This Row],[Price per Unit]]</f>
        <v>1200</v>
      </c>
      <c r="K297" t="str">
        <f t="shared" si="8"/>
        <v>Under 25</v>
      </c>
      <c r="L297" t="str">
        <f t="shared" si="9"/>
        <v>2023-09</v>
      </c>
    </row>
    <row r="298" spans="1:12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f>Table1[[#This Row],[Quantity]]*Table1[[#This Row],[Price per Unit]]</f>
        <v>1000</v>
      </c>
      <c r="K298" t="str">
        <f t="shared" si="8"/>
        <v>35–44</v>
      </c>
      <c r="L298" t="str">
        <f t="shared" si="9"/>
        <v>2023-09</v>
      </c>
    </row>
    <row r="299" spans="1:12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f>Table1[[#This Row],[Quantity]]*Table1[[#This Row],[Price per Unit]]</f>
        <v>1200</v>
      </c>
      <c r="K299" t="str">
        <f t="shared" si="8"/>
        <v>25–34</v>
      </c>
      <c r="L299" t="str">
        <f t="shared" si="9"/>
        <v>2023-04</v>
      </c>
    </row>
    <row r="300" spans="1:12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f>Table1[[#This Row],[Quantity]]*Table1[[#This Row],[Price per Unit]]</f>
        <v>1000</v>
      </c>
      <c r="K300" t="str">
        <f t="shared" si="8"/>
        <v>55+</v>
      </c>
      <c r="L300" t="str">
        <f t="shared" si="9"/>
        <v>2023-07</v>
      </c>
    </row>
    <row r="301" spans="1:12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f>Table1[[#This Row],[Quantity]]*Table1[[#This Row],[Price per Unit]]</f>
        <v>200</v>
      </c>
      <c r="K301" t="str">
        <f t="shared" si="8"/>
        <v>Under 25</v>
      </c>
      <c r="L301" t="str">
        <f t="shared" si="9"/>
        <v>2023-01</v>
      </c>
    </row>
    <row r="302" spans="1:12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f>Table1[[#This Row],[Quantity]]*Table1[[#This Row],[Price per Unit]]</f>
        <v>120</v>
      </c>
      <c r="K302" t="str">
        <f t="shared" si="8"/>
        <v>25–34</v>
      </c>
      <c r="L302" t="str">
        <f t="shared" si="9"/>
        <v>2023-03</v>
      </c>
    </row>
    <row r="303" spans="1:12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f>Table1[[#This Row],[Quantity]]*Table1[[#This Row],[Price per Unit]]</f>
        <v>600</v>
      </c>
      <c r="K303" t="str">
        <f t="shared" si="8"/>
        <v>55+</v>
      </c>
      <c r="L303" t="str">
        <f t="shared" si="9"/>
        <v>2023-07</v>
      </c>
    </row>
    <row r="304" spans="1:12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f>Table1[[#This Row],[Quantity]]*Table1[[#This Row],[Price per Unit]]</f>
        <v>90</v>
      </c>
      <c r="K304" t="str">
        <f t="shared" si="8"/>
        <v>Under 25</v>
      </c>
      <c r="L304" t="str">
        <f t="shared" si="9"/>
        <v>2023-01</v>
      </c>
    </row>
    <row r="305" spans="1:12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f>Table1[[#This Row],[Quantity]]*Table1[[#This Row],[Price per Unit]]</f>
        <v>60</v>
      </c>
      <c r="K305" t="str">
        <f t="shared" si="8"/>
        <v>35–44</v>
      </c>
      <c r="L305" t="str">
        <f t="shared" si="9"/>
        <v>2023-07</v>
      </c>
    </row>
    <row r="306" spans="1:12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f>Table1[[#This Row],[Quantity]]*Table1[[#This Row],[Price per Unit]]</f>
        <v>30</v>
      </c>
      <c r="K306" t="str">
        <f t="shared" si="8"/>
        <v>Under 25</v>
      </c>
      <c r="L306" t="str">
        <f t="shared" si="9"/>
        <v>2023-05</v>
      </c>
    </row>
    <row r="307" spans="1:12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f>Table1[[#This Row],[Quantity]]*Table1[[#This Row],[Price per Unit]]</f>
        <v>50</v>
      </c>
      <c r="K307" t="str">
        <f t="shared" si="8"/>
        <v>45–54</v>
      </c>
      <c r="L307" t="str">
        <f t="shared" si="9"/>
        <v>2023-08</v>
      </c>
    </row>
    <row r="308" spans="1:12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f>Table1[[#This Row],[Quantity]]*Table1[[#This Row],[Price per Unit]]</f>
        <v>50</v>
      </c>
      <c r="K308" t="str">
        <f t="shared" si="8"/>
        <v>25–34</v>
      </c>
      <c r="L308" t="str">
        <f t="shared" si="9"/>
        <v>2023-05</v>
      </c>
    </row>
    <row r="309" spans="1:12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f>Table1[[#This Row],[Quantity]]*Table1[[#This Row],[Price per Unit]]</f>
        <v>1200</v>
      </c>
      <c r="K309" t="str">
        <f t="shared" si="8"/>
        <v>25–34</v>
      </c>
      <c r="L309" t="str">
        <f t="shared" si="9"/>
        <v>2023-08</v>
      </c>
    </row>
    <row r="310" spans="1:12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f>Table1[[#This Row],[Quantity]]*Table1[[#This Row],[Price per Unit]]</f>
        <v>25</v>
      </c>
      <c r="K310" t="str">
        <f t="shared" si="8"/>
        <v>25–34</v>
      </c>
      <c r="L310" t="str">
        <f t="shared" si="9"/>
        <v>2023-12</v>
      </c>
    </row>
    <row r="311" spans="1:12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f>Table1[[#This Row],[Quantity]]*Table1[[#This Row],[Price per Unit]]</f>
        <v>25</v>
      </c>
      <c r="K311" t="str">
        <f t="shared" si="8"/>
        <v>25–34</v>
      </c>
      <c r="L311" t="str">
        <f t="shared" si="9"/>
        <v>2023-10</v>
      </c>
    </row>
    <row r="312" spans="1:12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f>Table1[[#This Row],[Quantity]]*Table1[[#This Row],[Price per Unit]]</f>
        <v>100</v>
      </c>
      <c r="K312" t="str">
        <f t="shared" si="8"/>
        <v>25–34</v>
      </c>
      <c r="L312" t="str">
        <f t="shared" si="9"/>
        <v>2023-12</v>
      </c>
    </row>
    <row r="313" spans="1:12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f>Table1[[#This Row],[Quantity]]*Table1[[#This Row],[Price per Unit]]</f>
        <v>120</v>
      </c>
      <c r="K313" t="str">
        <f t="shared" si="8"/>
        <v>35–44</v>
      </c>
      <c r="L313" t="str">
        <f t="shared" si="9"/>
        <v>2023-09</v>
      </c>
    </row>
    <row r="314" spans="1:12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f>Table1[[#This Row],[Quantity]]*Table1[[#This Row],[Price per Unit]]</f>
        <v>1500</v>
      </c>
      <c r="K314" t="str">
        <f t="shared" si="8"/>
        <v>55+</v>
      </c>
      <c r="L314" t="str">
        <f t="shared" si="9"/>
        <v>2023-03</v>
      </c>
    </row>
    <row r="315" spans="1:12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f>Table1[[#This Row],[Quantity]]*Table1[[#This Row],[Price per Unit]]</f>
        <v>120</v>
      </c>
      <c r="K315" t="str">
        <f t="shared" si="8"/>
        <v>45–54</v>
      </c>
      <c r="L315" t="str">
        <f t="shared" si="9"/>
        <v>2023-04</v>
      </c>
    </row>
    <row r="316" spans="1:12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f>Table1[[#This Row],[Quantity]]*Table1[[#This Row],[Price per Unit]]</f>
        <v>60</v>
      </c>
      <c r="K316" t="str">
        <f t="shared" si="8"/>
        <v>45–54</v>
      </c>
      <c r="L316" t="str">
        <f t="shared" si="9"/>
        <v>2023-06</v>
      </c>
    </row>
    <row r="317" spans="1:12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f>Table1[[#This Row],[Quantity]]*Table1[[#This Row],[Price per Unit]]</f>
        <v>50</v>
      </c>
      <c r="K317" t="str">
        <f t="shared" si="8"/>
        <v>45–54</v>
      </c>
      <c r="L317" t="str">
        <f t="shared" si="9"/>
        <v>2023-04</v>
      </c>
    </row>
    <row r="318" spans="1:12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f>Table1[[#This Row],[Quantity]]*Table1[[#This Row],[Price per Unit]]</f>
        <v>90</v>
      </c>
      <c r="K318" t="str">
        <f t="shared" si="8"/>
        <v>Under 25</v>
      </c>
      <c r="L318" t="str">
        <f t="shared" si="9"/>
        <v>2023-01</v>
      </c>
    </row>
    <row r="319" spans="1:12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f>Table1[[#This Row],[Quantity]]*Table1[[#This Row],[Price per Unit]]</f>
        <v>25</v>
      </c>
      <c r="K319" t="str">
        <f t="shared" si="8"/>
        <v>55+</v>
      </c>
      <c r="L319" t="str">
        <f t="shared" si="9"/>
        <v>2023-10</v>
      </c>
    </row>
    <row r="320" spans="1:12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f>Table1[[#This Row],[Quantity]]*Table1[[#This Row],[Price per Unit]]</f>
        <v>500</v>
      </c>
      <c r="K320" t="str">
        <f t="shared" si="8"/>
        <v>25–34</v>
      </c>
      <c r="L320" t="str">
        <f t="shared" si="9"/>
        <v>2023-10</v>
      </c>
    </row>
    <row r="321" spans="1:12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f>Table1[[#This Row],[Quantity]]*Table1[[#This Row],[Price per Unit]]</f>
        <v>1200</v>
      </c>
      <c r="K321" t="str">
        <f t="shared" si="8"/>
        <v>25–34</v>
      </c>
      <c r="L321" t="str">
        <f t="shared" si="9"/>
        <v>2023-02</v>
      </c>
    </row>
    <row r="322" spans="1:12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f>Table1[[#This Row],[Quantity]]*Table1[[#This Row],[Price per Unit]]</f>
        <v>50</v>
      </c>
      <c r="K322" t="str">
        <f t="shared" ref="K322:K385" si="10">IF(E322&lt;25,"Under 25",
IF(E322&lt;35,"25–34",
IF(E322&lt;45,"35–44",
IF(E322&lt;55,"45–54","55+"))))</f>
        <v>25–34</v>
      </c>
      <c r="L322" t="str">
        <f t="shared" ref="L322:L385" si="11">TEXT(B322,"yyyy-mm")</f>
        <v>2023-06</v>
      </c>
    </row>
    <row r="323" spans="1:12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f>Table1[[#This Row],[Quantity]]*Table1[[#This Row],[Price per Unit]]</f>
        <v>500</v>
      </c>
      <c r="K323" t="str">
        <f t="shared" si="10"/>
        <v>45–54</v>
      </c>
      <c r="L323" t="str">
        <f t="shared" si="11"/>
        <v>2023-01</v>
      </c>
    </row>
    <row r="324" spans="1:12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f>Table1[[#This Row],[Quantity]]*Table1[[#This Row],[Price per Unit]]</f>
        <v>900</v>
      </c>
      <c r="K324" t="str">
        <f t="shared" si="10"/>
        <v>25–34</v>
      </c>
      <c r="L324" t="str">
        <f t="shared" si="11"/>
        <v>2023-01</v>
      </c>
    </row>
    <row r="325" spans="1:12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f>Table1[[#This Row],[Quantity]]*Table1[[#This Row],[Price per Unit]]</f>
        <v>150</v>
      </c>
      <c r="K325" t="str">
        <f t="shared" si="10"/>
        <v>45–54</v>
      </c>
      <c r="L325" t="str">
        <f t="shared" si="11"/>
        <v>2023-10</v>
      </c>
    </row>
    <row r="326" spans="1:12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f>Table1[[#This Row],[Quantity]]*Table1[[#This Row],[Price per Unit]]</f>
        <v>50</v>
      </c>
      <c r="K326" t="str">
        <f t="shared" si="10"/>
        <v>45–54</v>
      </c>
      <c r="L326" t="str">
        <f t="shared" si="11"/>
        <v>2023-09</v>
      </c>
    </row>
    <row r="327" spans="1:12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f>Table1[[#This Row],[Quantity]]*Table1[[#This Row],[Price per Unit]]</f>
        <v>75</v>
      </c>
      <c r="K327" t="str">
        <f t="shared" si="10"/>
        <v>Under 25</v>
      </c>
      <c r="L327" t="str">
        <f t="shared" si="11"/>
        <v>2023-09</v>
      </c>
    </row>
    <row r="328" spans="1:12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f>Table1[[#This Row],[Quantity]]*Table1[[#This Row],[Price per Unit]]</f>
        <v>150</v>
      </c>
      <c r="K328" t="str">
        <f t="shared" si="10"/>
        <v>55+</v>
      </c>
      <c r="L328" t="str">
        <f t="shared" si="11"/>
        <v>2023-09</v>
      </c>
    </row>
    <row r="329" spans="1:12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f>Table1[[#This Row],[Quantity]]*Table1[[#This Row],[Price per Unit]]</f>
        <v>100</v>
      </c>
      <c r="K329" t="str">
        <f t="shared" si="10"/>
        <v>35–44</v>
      </c>
      <c r="L329" t="str">
        <f t="shared" si="11"/>
        <v>2023-03</v>
      </c>
    </row>
    <row r="330" spans="1:12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f>Table1[[#This Row],[Quantity]]*Table1[[#This Row],[Price per Unit]]</f>
        <v>100</v>
      </c>
      <c r="K330" t="str">
        <f t="shared" si="10"/>
        <v>45–54</v>
      </c>
      <c r="L330" t="str">
        <f t="shared" si="11"/>
        <v>2023-01</v>
      </c>
    </row>
    <row r="331" spans="1:12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f>Table1[[#This Row],[Quantity]]*Table1[[#This Row],[Price per Unit]]</f>
        <v>200</v>
      </c>
      <c r="K331" t="str">
        <f t="shared" si="10"/>
        <v>25–34</v>
      </c>
      <c r="L331" t="str">
        <f t="shared" si="11"/>
        <v>2023-09</v>
      </c>
    </row>
    <row r="332" spans="1:12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f>Table1[[#This Row],[Quantity]]*Table1[[#This Row],[Price per Unit]]</f>
        <v>90</v>
      </c>
      <c r="K332" t="str">
        <f t="shared" si="10"/>
        <v>25–34</v>
      </c>
      <c r="L332" t="str">
        <f t="shared" si="11"/>
        <v>2023-02</v>
      </c>
    </row>
    <row r="333" spans="1:12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f>Table1[[#This Row],[Quantity]]*Table1[[#This Row],[Price per Unit]]</f>
        <v>1200</v>
      </c>
      <c r="K333" t="str">
        <f t="shared" si="10"/>
        <v>55+</v>
      </c>
      <c r="L333" t="str">
        <f t="shared" si="11"/>
        <v>2023-04</v>
      </c>
    </row>
    <row r="334" spans="1:12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f>Table1[[#This Row],[Quantity]]*Table1[[#This Row],[Price per Unit]]</f>
        <v>1200</v>
      </c>
      <c r="K334" t="str">
        <f t="shared" si="10"/>
        <v>45–54</v>
      </c>
      <c r="L334" t="str">
        <f t="shared" si="11"/>
        <v>2023-02</v>
      </c>
    </row>
    <row r="335" spans="1:12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f>Table1[[#This Row],[Quantity]]*Table1[[#This Row],[Price per Unit]]</f>
        <v>900</v>
      </c>
      <c r="K335" t="str">
        <f t="shared" si="10"/>
        <v>25–34</v>
      </c>
      <c r="L335" t="str">
        <f t="shared" si="11"/>
        <v>2023-11</v>
      </c>
    </row>
    <row r="336" spans="1:12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f>Table1[[#This Row],[Quantity]]*Table1[[#This Row],[Price per Unit]]</f>
        <v>120</v>
      </c>
      <c r="K336" t="str">
        <f t="shared" si="10"/>
        <v>45–54</v>
      </c>
      <c r="L336" t="str">
        <f t="shared" si="11"/>
        <v>2023-02</v>
      </c>
    </row>
    <row r="337" spans="1:12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f>Table1[[#This Row],[Quantity]]*Table1[[#This Row],[Price per Unit]]</f>
        <v>150</v>
      </c>
      <c r="K337" t="str">
        <f t="shared" si="10"/>
        <v>45–54</v>
      </c>
      <c r="L337" t="str">
        <f t="shared" si="11"/>
        <v>2023-12</v>
      </c>
    </row>
    <row r="338" spans="1:12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f>Table1[[#This Row],[Quantity]]*Table1[[#This Row],[Price per Unit]]</f>
        <v>500</v>
      </c>
      <c r="K338" t="str">
        <f t="shared" si="10"/>
        <v>35–44</v>
      </c>
      <c r="L338" t="str">
        <f t="shared" si="11"/>
        <v>2023-05</v>
      </c>
    </row>
    <row r="339" spans="1:12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f>Table1[[#This Row],[Quantity]]*Table1[[#This Row],[Price per Unit]]</f>
        <v>100</v>
      </c>
      <c r="K339" t="str">
        <f t="shared" si="10"/>
        <v>45–54</v>
      </c>
      <c r="L339" t="str">
        <f t="shared" si="11"/>
        <v>2023-07</v>
      </c>
    </row>
    <row r="340" spans="1:12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f>Table1[[#This Row],[Quantity]]*Table1[[#This Row],[Price per Unit]]</f>
        <v>50</v>
      </c>
      <c r="K340" t="str">
        <f t="shared" si="10"/>
        <v>Under 25</v>
      </c>
      <c r="L340" t="str">
        <f t="shared" si="11"/>
        <v>2023-03</v>
      </c>
    </row>
    <row r="341" spans="1:12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f>Table1[[#This Row],[Quantity]]*Table1[[#This Row],[Price per Unit]]</f>
        <v>1200</v>
      </c>
      <c r="K341" t="str">
        <f t="shared" si="10"/>
        <v>35–44</v>
      </c>
      <c r="L341" t="str">
        <f t="shared" si="11"/>
        <v>2023-10</v>
      </c>
    </row>
    <row r="342" spans="1:12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f>Table1[[#This Row],[Quantity]]*Table1[[#This Row],[Price per Unit]]</f>
        <v>200</v>
      </c>
      <c r="K342" t="str">
        <f t="shared" si="10"/>
        <v>25–34</v>
      </c>
      <c r="L342" t="str">
        <f t="shared" si="11"/>
        <v>2023-05</v>
      </c>
    </row>
    <row r="343" spans="1:12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f>Table1[[#This Row],[Quantity]]*Table1[[#This Row],[Price per Unit]]</f>
        <v>2000</v>
      </c>
      <c r="K343" t="str">
        <f t="shared" si="10"/>
        <v>35–44</v>
      </c>
      <c r="L343" t="str">
        <f t="shared" si="11"/>
        <v>2023-10</v>
      </c>
    </row>
    <row r="344" spans="1:12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f>Table1[[#This Row],[Quantity]]*Table1[[#This Row],[Price per Unit]]</f>
        <v>50</v>
      </c>
      <c r="K344" t="str">
        <f t="shared" si="10"/>
        <v>Under 25</v>
      </c>
      <c r="L344" t="str">
        <f t="shared" si="11"/>
        <v>2023-11</v>
      </c>
    </row>
    <row r="345" spans="1:12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f>Table1[[#This Row],[Quantity]]*Table1[[#This Row],[Price per Unit]]</f>
        <v>30</v>
      </c>
      <c r="K345" t="str">
        <f t="shared" si="10"/>
        <v>35–44</v>
      </c>
      <c r="L345" t="str">
        <f t="shared" si="11"/>
        <v>2023-01</v>
      </c>
    </row>
    <row r="346" spans="1:12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f>Table1[[#This Row],[Quantity]]*Table1[[#This Row],[Price per Unit]]</f>
        <v>30</v>
      </c>
      <c r="K346" t="str">
        <f t="shared" si="10"/>
        <v>55+</v>
      </c>
      <c r="L346" t="str">
        <f t="shared" si="11"/>
        <v>2023-11</v>
      </c>
    </row>
    <row r="347" spans="1:12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f>Table1[[#This Row],[Quantity]]*Table1[[#This Row],[Price per Unit]]</f>
        <v>1000</v>
      </c>
      <c r="K347" t="str">
        <f t="shared" si="10"/>
        <v>55+</v>
      </c>
      <c r="L347" t="str">
        <f t="shared" si="11"/>
        <v>2023-02</v>
      </c>
    </row>
    <row r="348" spans="1:12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f>Table1[[#This Row],[Quantity]]*Table1[[#This Row],[Price per Unit]]</f>
        <v>25</v>
      </c>
      <c r="K348" t="str">
        <f t="shared" si="10"/>
        <v>35–44</v>
      </c>
      <c r="L348" t="str">
        <f t="shared" si="11"/>
        <v>2023-08</v>
      </c>
    </row>
    <row r="349" spans="1:12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f>Table1[[#This Row],[Quantity]]*Table1[[#This Row],[Price per Unit]]</f>
        <v>600</v>
      </c>
      <c r="K349" t="str">
        <f t="shared" si="10"/>
        <v>35–44</v>
      </c>
      <c r="L349" t="str">
        <f t="shared" si="11"/>
        <v>2023-12</v>
      </c>
    </row>
    <row r="350" spans="1:12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f>Table1[[#This Row],[Quantity]]*Table1[[#This Row],[Price per Unit]]</f>
        <v>50</v>
      </c>
      <c r="K350" t="str">
        <f t="shared" si="10"/>
        <v>55+</v>
      </c>
      <c r="L350" t="str">
        <f t="shared" si="11"/>
        <v>2023-10</v>
      </c>
    </row>
    <row r="351" spans="1:12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f>Table1[[#This Row],[Quantity]]*Table1[[#This Row],[Price per Unit]]</f>
        <v>75</v>
      </c>
      <c r="K351" t="str">
        <f t="shared" si="10"/>
        <v>25–34</v>
      </c>
      <c r="L351" t="str">
        <f t="shared" si="11"/>
        <v>2023-10</v>
      </c>
    </row>
    <row r="352" spans="1:12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f>Table1[[#This Row],[Quantity]]*Table1[[#This Row],[Price per Unit]]</f>
        <v>90</v>
      </c>
      <c r="K352" t="str">
        <f t="shared" si="10"/>
        <v>55+</v>
      </c>
      <c r="L352" t="str">
        <f t="shared" si="11"/>
        <v>2023-09</v>
      </c>
    </row>
    <row r="353" spans="1:12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f>Table1[[#This Row],[Quantity]]*Table1[[#This Row],[Price per Unit]]</f>
        <v>1000</v>
      </c>
      <c r="K353" t="str">
        <f t="shared" si="10"/>
        <v>55+</v>
      </c>
      <c r="L353" t="str">
        <f t="shared" si="11"/>
        <v>2023-06</v>
      </c>
    </row>
    <row r="354" spans="1:12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f>Table1[[#This Row],[Quantity]]*Table1[[#This Row],[Price per Unit]]</f>
        <v>500</v>
      </c>
      <c r="K354" t="str">
        <f t="shared" si="10"/>
        <v>25–34</v>
      </c>
      <c r="L354" t="str">
        <f t="shared" si="11"/>
        <v>2023-05</v>
      </c>
    </row>
    <row r="355" spans="1:12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f>Table1[[#This Row],[Quantity]]*Table1[[#This Row],[Price per Unit]]</f>
        <v>200</v>
      </c>
      <c r="K355" t="str">
        <f t="shared" si="10"/>
        <v>45–54</v>
      </c>
      <c r="L355" t="str">
        <f t="shared" si="11"/>
        <v>2023-04</v>
      </c>
    </row>
    <row r="356" spans="1:12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f>Table1[[#This Row],[Quantity]]*Table1[[#This Row],[Price per Unit]]</f>
        <v>500</v>
      </c>
      <c r="K356" t="str">
        <f t="shared" si="10"/>
        <v>55+</v>
      </c>
      <c r="L356" t="str">
        <f t="shared" si="11"/>
        <v>2023-12</v>
      </c>
    </row>
    <row r="357" spans="1:12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f>Table1[[#This Row],[Quantity]]*Table1[[#This Row],[Price per Unit]]</f>
        <v>1500</v>
      </c>
      <c r="K357" t="str">
        <f t="shared" si="10"/>
        <v>45–54</v>
      </c>
      <c r="L357" t="str">
        <f t="shared" si="11"/>
        <v>2023-06</v>
      </c>
    </row>
    <row r="358" spans="1:12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f>Table1[[#This Row],[Quantity]]*Table1[[#This Row],[Price per Unit]]</f>
        <v>75</v>
      </c>
      <c r="K358" t="str">
        <f t="shared" si="10"/>
        <v>35–44</v>
      </c>
      <c r="L358" t="str">
        <f t="shared" si="11"/>
        <v>2023-05</v>
      </c>
    </row>
    <row r="359" spans="1:12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f>Table1[[#This Row],[Quantity]]*Table1[[#This Row],[Price per Unit]]</f>
        <v>300</v>
      </c>
      <c r="K359" t="str">
        <f t="shared" si="10"/>
        <v>25–34</v>
      </c>
      <c r="L359" t="str">
        <f t="shared" si="11"/>
        <v>2023-05</v>
      </c>
    </row>
    <row r="360" spans="1:12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f>Table1[[#This Row],[Quantity]]*Table1[[#This Row],[Price per Unit]]</f>
        <v>50</v>
      </c>
      <c r="K360" t="str">
        <f t="shared" si="10"/>
        <v>45–54</v>
      </c>
      <c r="L360" t="str">
        <f t="shared" si="11"/>
        <v>2023-07</v>
      </c>
    </row>
    <row r="361" spans="1:12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f>Table1[[#This Row],[Quantity]]*Table1[[#This Row],[Price per Unit]]</f>
        <v>100</v>
      </c>
      <c r="K361" t="str">
        <f t="shared" si="10"/>
        <v>35–44</v>
      </c>
      <c r="L361" t="str">
        <f t="shared" si="11"/>
        <v>2023-03</v>
      </c>
    </row>
    <row r="362" spans="1:12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f>Table1[[#This Row],[Quantity]]*Table1[[#This Row],[Price per Unit]]</f>
        <v>1200</v>
      </c>
      <c r="K362" t="str">
        <f t="shared" si="10"/>
        <v>25–34</v>
      </c>
      <c r="L362" t="str">
        <f t="shared" si="11"/>
        <v>2023-12</v>
      </c>
    </row>
    <row r="363" spans="1:12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f>Table1[[#This Row],[Quantity]]*Table1[[#This Row],[Price per Unit]]</f>
        <v>25</v>
      </c>
      <c r="K363" t="str">
        <f t="shared" si="10"/>
        <v>45–54</v>
      </c>
      <c r="L363" t="str">
        <f t="shared" si="11"/>
        <v>2023-11</v>
      </c>
    </row>
    <row r="364" spans="1:12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f>Table1[[#This Row],[Quantity]]*Table1[[#This Row],[Price per Unit]]</f>
        <v>25</v>
      </c>
      <c r="K364" t="str">
        <f t="shared" si="10"/>
        <v>55+</v>
      </c>
      <c r="L364" t="str">
        <f t="shared" si="11"/>
        <v>2023-06</v>
      </c>
    </row>
    <row r="365" spans="1:12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f>Table1[[#This Row],[Quantity]]*Table1[[#This Row],[Price per Unit]]</f>
        <v>500</v>
      </c>
      <c r="K365" t="str">
        <f t="shared" si="10"/>
        <v>Under 25</v>
      </c>
      <c r="L365" t="str">
        <f t="shared" si="11"/>
        <v>2023-08</v>
      </c>
    </row>
    <row r="366" spans="1:12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f>Table1[[#This Row],[Quantity]]*Table1[[#This Row],[Price per Unit]]</f>
        <v>300</v>
      </c>
      <c r="K366" t="str">
        <f t="shared" si="10"/>
        <v>25–34</v>
      </c>
      <c r="L366" t="str">
        <f t="shared" si="11"/>
        <v>2023-06</v>
      </c>
    </row>
    <row r="367" spans="1:12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f>Table1[[#This Row],[Quantity]]*Table1[[#This Row],[Price per Unit]]</f>
        <v>100</v>
      </c>
      <c r="K367" t="str">
        <f t="shared" si="10"/>
        <v>55+</v>
      </c>
      <c r="L367" t="str">
        <f t="shared" si="11"/>
        <v>2023-02</v>
      </c>
    </row>
    <row r="368" spans="1:12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f>Table1[[#This Row],[Quantity]]*Table1[[#This Row],[Price per Unit]]</f>
        <v>50</v>
      </c>
      <c r="K368" t="str">
        <f t="shared" si="10"/>
        <v>55+</v>
      </c>
      <c r="L368" t="str">
        <f t="shared" si="11"/>
        <v>2023-01</v>
      </c>
    </row>
    <row r="369" spans="1:12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f>Table1[[#This Row],[Quantity]]*Table1[[#This Row],[Price per Unit]]</f>
        <v>1200</v>
      </c>
      <c r="K369" t="str">
        <f t="shared" si="10"/>
        <v>55+</v>
      </c>
      <c r="L369" t="str">
        <f t="shared" si="11"/>
        <v>2023-08</v>
      </c>
    </row>
    <row r="370" spans="1:12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f>Table1[[#This Row],[Quantity]]*Table1[[#This Row],[Price per Unit]]</f>
        <v>1500</v>
      </c>
      <c r="K370" t="str">
        <f t="shared" si="10"/>
        <v>Under 25</v>
      </c>
      <c r="L370" t="str">
        <f t="shared" si="11"/>
        <v>2023-11</v>
      </c>
    </row>
    <row r="371" spans="1:12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f>Table1[[#This Row],[Quantity]]*Table1[[#This Row],[Price per Unit]]</f>
        <v>60</v>
      </c>
      <c r="K371" t="str">
        <f t="shared" si="10"/>
        <v>Under 25</v>
      </c>
      <c r="L371" t="str">
        <f t="shared" si="11"/>
        <v>2023-10</v>
      </c>
    </row>
    <row r="372" spans="1:12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f>Table1[[#This Row],[Quantity]]*Table1[[#This Row],[Price per Unit]]</f>
        <v>25</v>
      </c>
      <c r="K372" t="str">
        <f t="shared" si="10"/>
        <v>Under 25</v>
      </c>
      <c r="L372" t="str">
        <f t="shared" si="11"/>
        <v>2023-02</v>
      </c>
    </row>
    <row r="373" spans="1:12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f>Table1[[#This Row],[Quantity]]*Table1[[#This Row],[Price per Unit]]</f>
        <v>1500</v>
      </c>
      <c r="K373" t="str">
        <f t="shared" si="10"/>
        <v>Under 25</v>
      </c>
      <c r="L373" t="str">
        <f t="shared" si="11"/>
        <v>2023-02</v>
      </c>
    </row>
    <row r="374" spans="1:12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f>Table1[[#This Row],[Quantity]]*Table1[[#This Row],[Price per Unit]]</f>
        <v>600</v>
      </c>
      <c r="K374" t="str">
        <f t="shared" si="10"/>
        <v>25–34</v>
      </c>
      <c r="L374" t="str">
        <f t="shared" si="11"/>
        <v>2023-10</v>
      </c>
    </row>
    <row r="375" spans="1:12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f>Table1[[#This Row],[Quantity]]*Table1[[#This Row],[Price per Unit]]</f>
        <v>75</v>
      </c>
      <c r="K375" t="str">
        <f t="shared" si="10"/>
        <v>55+</v>
      </c>
      <c r="L375" t="str">
        <f t="shared" si="11"/>
        <v>2023-04</v>
      </c>
    </row>
    <row r="376" spans="1:12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f>Table1[[#This Row],[Quantity]]*Table1[[#This Row],[Price per Unit]]</f>
        <v>50</v>
      </c>
      <c r="K376" t="str">
        <f t="shared" si="10"/>
        <v>25–34</v>
      </c>
      <c r="L376" t="str">
        <f t="shared" si="11"/>
        <v>2023-09</v>
      </c>
    </row>
    <row r="377" spans="1:12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f>Table1[[#This Row],[Quantity]]*Table1[[#This Row],[Price per Unit]]</f>
        <v>30</v>
      </c>
      <c r="K377" t="str">
        <f t="shared" si="10"/>
        <v>55+</v>
      </c>
      <c r="L377" t="str">
        <f t="shared" si="11"/>
        <v>2023-05</v>
      </c>
    </row>
    <row r="378" spans="1:12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f>Table1[[#This Row],[Quantity]]*Table1[[#This Row],[Price per Unit]]</f>
        <v>200</v>
      </c>
      <c r="K378" t="str">
        <f t="shared" si="10"/>
        <v>45–54</v>
      </c>
      <c r="L378" t="str">
        <f t="shared" si="11"/>
        <v>2023-03</v>
      </c>
    </row>
    <row r="379" spans="1:12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f>Table1[[#This Row],[Quantity]]*Table1[[#This Row],[Price per Unit]]</f>
        <v>300</v>
      </c>
      <c r="K379" t="str">
        <f t="shared" si="10"/>
        <v>45–54</v>
      </c>
      <c r="L379" t="str">
        <f t="shared" si="11"/>
        <v>2023-06</v>
      </c>
    </row>
    <row r="380" spans="1:12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f>Table1[[#This Row],[Quantity]]*Table1[[#This Row],[Price per Unit]]</f>
        <v>25</v>
      </c>
      <c r="K380" t="str">
        <f t="shared" si="10"/>
        <v>45–54</v>
      </c>
      <c r="L380" t="str">
        <f t="shared" si="11"/>
        <v>2023-02</v>
      </c>
    </row>
    <row r="381" spans="1:12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f>Table1[[#This Row],[Quantity]]*Table1[[#This Row],[Price per Unit]]</f>
        <v>600</v>
      </c>
      <c r="K381" t="str">
        <f t="shared" si="10"/>
        <v>55+</v>
      </c>
      <c r="L381" t="str">
        <f t="shared" si="11"/>
        <v>2023-05</v>
      </c>
    </row>
    <row r="382" spans="1:12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f>Table1[[#This Row],[Quantity]]*Table1[[#This Row],[Price per Unit]]</f>
        <v>100</v>
      </c>
      <c r="K382" t="str">
        <f t="shared" si="10"/>
        <v>35–44</v>
      </c>
      <c r="L382" t="str">
        <f t="shared" si="11"/>
        <v>2023-07</v>
      </c>
    </row>
    <row r="383" spans="1:12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f>Table1[[#This Row],[Quantity]]*Table1[[#This Row],[Price per Unit]]</f>
        <v>1000</v>
      </c>
      <c r="K383" t="str">
        <f t="shared" si="10"/>
        <v>45–54</v>
      </c>
      <c r="L383" t="str">
        <f t="shared" si="11"/>
        <v>2023-05</v>
      </c>
    </row>
    <row r="384" spans="1:12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f>Table1[[#This Row],[Quantity]]*Table1[[#This Row],[Price per Unit]]</f>
        <v>90</v>
      </c>
      <c r="K384" t="str">
        <f t="shared" si="10"/>
        <v>45–54</v>
      </c>
      <c r="L384" t="str">
        <f t="shared" si="11"/>
        <v>2023-03</v>
      </c>
    </row>
    <row r="385" spans="1:12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f>Table1[[#This Row],[Quantity]]*Table1[[#This Row],[Price per Unit]]</f>
        <v>500</v>
      </c>
      <c r="K385" t="str">
        <f t="shared" si="10"/>
        <v>55+</v>
      </c>
      <c r="L385" t="str">
        <f t="shared" si="11"/>
        <v>2023-08</v>
      </c>
    </row>
    <row r="386" spans="1:12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f>Table1[[#This Row],[Quantity]]*Table1[[#This Row],[Price per Unit]]</f>
        <v>1500</v>
      </c>
      <c r="K386" t="str">
        <f t="shared" ref="K386:K449" si="12">IF(E386&lt;25,"Under 25",
IF(E386&lt;35,"25–34",
IF(E386&lt;45,"35–44",
IF(E386&lt;55,"45–54","55+"))))</f>
        <v>45–54</v>
      </c>
      <c r="L386" t="str">
        <f t="shared" ref="L386:L449" si="13">TEXT(B386,"yyyy-mm")</f>
        <v>2023-10</v>
      </c>
    </row>
    <row r="387" spans="1:12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f>Table1[[#This Row],[Quantity]]*Table1[[#This Row],[Price per Unit]]</f>
        <v>600</v>
      </c>
      <c r="K387" t="str">
        <f t="shared" si="12"/>
        <v>45–54</v>
      </c>
      <c r="L387" t="str">
        <f t="shared" si="13"/>
        <v>2023-12</v>
      </c>
    </row>
    <row r="388" spans="1:12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f>Table1[[#This Row],[Quantity]]*Table1[[#This Row],[Price per Unit]]</f>
        <v>30</v>
      </c>
      <c r="K388" t="str">
        <f t="shared" si="12"/>
        <v>35–44</v>
      </c>
      <c r="L388" t="str">
        <f t="shared" si="13"/>
        <v>2023-06</v>
      </c>
    </row>
    <row r="389" spans="1:12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f>Table1[[#This Row],[Quantity]]*Table1[[#This Row],[Price per Unit]]</f>
        <v>25</v>
      </c>
      <c r="K389" t="str">
        <f t="shared" si="12"/>
        <v>45–54</v>
      </c>
      <c r="L389" t="str">
        <f t="shared" si="13"/>
        <v>2023-11</v>
      </c>
    </row>
    <row r="390" spans="1:12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f>Table1[[#This Row],[Quantity]]*Table1[[#This Row],[Price per Unit]]</f>
        <v>50</v>
      </c>
      <c r="K390" t="str">
        <f t="shared" si="12"/>
        <v>Under 25</v>
      </c>
      <c r="L390" t="str">
        <f t="shared" si="13"/>
        <v>2023-12</v>
      </c>
    </row>
    <row r="391" spans="1:12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f>Table1[[#This Row],[Quantity]]*Table1[[#This Row],[Price per Unit]]</f>
        <v>100</v>
      </c>
      <c r="K391" t="str">
        <f t="shared" si="12"/>
        <v>35–44</v>
      </c>
      <c r="L391" t="str">
        <f t="shared" si="13"/>
        <v>2023-09</v>
      </c>
    </row>
    <row r="392" spans="1:12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f>Table1[[#This Row],[Quantity]]*Table1[[#This Row],[Price per Unit]]</f>
        <v>50</v>
      </c>
      <c r="K392" t="str">
        <f t="shared" si="12"/>
        <v>Under 25</v>
      </c>
      <c r="L392" t="str">
        <f t="shared" si="13"/>
        <v>2023-01</v>
      </c>
    </row>
    <row r="393" spans="1:12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f>Table1[[#This Row],[Quantity]]*Table1[[#This Row],[Price per Unit]]</f>
        <v>600</v>
      </c>
      <c r="K393" t="str">
        <f t="shared" si="12"/>
        <v>25–34</v>
      </c>
      <c r="L393" t="str">
        <f t="shared" si="13"/>
        <v>2023-12</v>
      </c>
    </row>
    <row r="394" spans="1:12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f>Table1[[#This Row],[Quantity]]*Table1[[#This Row],[Price per Unit]]</f>
        <v>1000</v>
      </c>
      <c r="K394" t="str">
        <f t="shared" si="12"/>
        <v>Under 25</v>
      </c>
      <c r="L394" t="str">
        <f t="shared" si="13"/>
        <v>2023-10</v>
      </c>
    </row>
    <row r="395" spans="1:12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f>Table1[[#This Row],[Quantity]]*Table1[[#This Row],[Price per Unit]]</f>
        <v>500</v>
      </c>
      <c r="K395" t="str">
        <f t="shared" si="12"/>
        <v>25–34</v>
      </c>
      <c r="L395" t="str">
        <f t="shared" si="13"/>
        <v>2023-06</v>
      </c>
    </row>
    <row r="396" spans="1:12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f>Table1[[#This Row],[Quantity]]*Table1[[#This Row],[Price per Unit]]</f>
        <v>1000</v>
      </c>
      <c r="K396" t="str">
        <f t="shared" si="12"/>
        <v>45–54</v>
      </c>
      <c r="L396" t="str">
        <f t="shared" si="13"/>
        <v>2023-12</v>
      </c>
    </row>
    <row r="397" spans="1:12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f>Table1[[#This Row],[Quantity]]*Table1[[#This Row],[Price per Unit]]</f>
        <v>30</v>
      </c>
      <c r="K397" t="str">
        <f t="shared" si="12"/>
        <v>55+</v>
      </c>
      <c r="L397" t="str">
        <f t="shared" si="13"/>
        <v>2023-02</v>
      </c>
    </row>
    <row r="398" spans="1:12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f>Table1[[#This Row],[Quantity]]*Table1[[#This Row],[Price per Unit]]</f>
        <v>25</v>
      </c>
      <c r="K398" t="str">
        <f t="shared" si="12"/>
        <v>25–34</v>
      </c>
      <c r="L398" t="str">
        <f t="shared" si="13"/>
        <v>2023-03</v>
      </c>
    </row>
    <row r="399" spans="1:12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f>Table1[[#This Row],[Quantity]]*Table1[[#This Row],[Price per Unit]]</f>
        <v>600</v>
      </c>
      <c r="K399" t="str">
        <f t="shared" si="12"/>
        <v>45–54</v>
      </c>
      <c r="L399" t="str">
        <f t="shared" si="13"/>
        <v>2023-05</v>
      </c>
    </row>
    <row r="400" spans="1:12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f>Table1[[#This Row],[Quantity]]*Table1[[#This Row],[Price per Unit]]</f>
        <v>60</v>
      </c>
      <c r="K400" t="str">
        <f t="shared" si="12"/>
        <v>55+</v>
      </c>
      <c r="L400" t="str">
        <f t="shared" si="13"/>
        <v>2023-03</v>
      </c>
    </row>
    <row r="401" spans="1:12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f>Table1[[#This Row],[Quantity]]*Table1[[#This Row],[Price per Unit]]</f>
        <v>200</v>
      </c>
      <c r="K401" t="str">
        <f t="shared" si="12"/>
        <v>45–54</v>
      </c>
      <c r="L401" t="str">
        <f t="shared" si="13"/>
        <v>2023-02</v>
      </c>
    </row>
    <row r="402" spans="1:12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f>Table1[[#This Row],[Quantity]]*Table1[[#This Row],[Price per Unit]]</f>
        <v>300</v>
      </c>
      <c r="K402" t="str">
        <f t="shared" si="12"/>
        <v>55+</v>
      </c>
      <c r="L402" t="str">
        <f t="shared" si="13"/>
        <v>2023-10</v>
      </c>
    </row>
    <row r="403" spans="1:12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f>Table1[[#This Row],[Quantity]]*Table1[[#This Row],[Price per Unit]]</f>
        <v>600</v>
      </c>
      <c r="K403" t="str">
        <f t="shared" si="12"/>
        <v>35–44</v>
      </c>
      <c r="L403" t="str">
        <f t="shared" si="13"/>
        <v>2023-03</v>
      </c>
    </row>
    <row r="404" spans="1:12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f>Table1[[#This Row],[Quantity]]*Table1[[#This Row],[Price per Unit]]</f>
        <v>600</v>
      </c>
      <c r="K404" t="str">
        <f t="shared" si="12"/>
        <v>25–34</v>
      </c>
      <c r="L404" t="str">
        <f t="shared" si="13"/>
        <v>2023-05</v>
      </c>
    </row>
    <row r="405" spans="1:12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f>Table1[[#This Row],[Quantity]]*Table1[[#This Row],[Price per Unit]]</f>
        <v>1000</v>
      </c>
      <c r="K405" t="str">
        <f t="shared" si="12"/>
        <v>45–54</v>
      </c>
      <c r="L405" t="str">
        <f t="shared" si="13"/>
        <v>2023-05</v>
      </c>
    </row>
    <row r="406" spans="1:12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f>Table1[[#This Row],[Quantity]]*Table1[[#This Row],[Price per Unit]]</f>
        <v>1200</v>
      </c>
      <c r="K406" t="str">
        <f t="shared" si="12"/>
        <v>25–34</v>
      </c>
      <c r="L406" t="str">
        <f t="shared" si="13"/>
        <v>2023-11</v>
      </c>
    </row>
    <row r="407" spans="1:12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f>Table1[[#This Row],[Quantity]]*Table1[[#This Row],[Price per Unit]]</f>
        <v>100</v>
      </c>
      <c r="K407" t="str">
        <f t="shared" si="12"/>
        <v>Under 25</v>
      </c>
      <c r="L407" t="str">
        <f t="shared" si="13"/>
        <v>2023-04</v>
      </c>
    </row>
    <row r="408" spans="1:12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f>Table1[[#This Row],[Quantity]]*Table1[[#This Row],[Price per Unit]]</f>
        <v>900</v>
      </c>
      <c r="K408" t="str">
        <f t="shared" si="12"/>
        <v>45–54</v>
      </c>
      <c r="L408" t="str">
        <f t="shared" si="13"/>
        <v>2023-06</v>
      </c>
    </row>
    <row r="409" spans="1:12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f>Table1[[#This Row],[Quantity]]*Table1[[#This Row],[Price per Unit]]</f>
        <v>500</v>
      </c>
      <c r="K409" t="str">
        <f t="shared" si="12"/>
        <v>55+</v>
      </c>
      <c r="L409" t="str">
        <f t="shared" si="13"/>
        <v>2023-04</v>
      </c>
    </row>
    <row r="410" spans="1:12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f>Table1[[#This Row],[Quantity]]*Table1[[#This Row],[Price per Unit]]</f>
        <v>900</v>
      </c>
      <c r="K410" t="str">
        <f t="shared" si="12"/>
        <v>Under 25</v>
      </c>
      <c r="L410" t="str">
        <f t="shared" si="13"/>
        <v>2023-12</v>
      </c>
    </row>
    <row r="411" spans="1:12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f>Table1[[#This Row],[Quantity]]*Table1[[#This Row],[Price per Unit]]</f>
        <v>100</v>
      </c>
      <c r="K411" t="str">
        <f t="shared" si="12"/>
        <v>25–34</v>
      </c>
      <c r="L411" t="str">
        <f t="shared" si="13"/>
        <v>2023-11</v>
      </c>
    </row>
    <row r="412" spans="1:12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f>Table1[[#This Row],[Quantity]]*Table1[[#This Row],[Price per Unit]]</f>
        <v>200</v>
      </c>
      <c r="K412" t="str">
        <f t="shared" si="12"/>
        <v>55+</v>
      </c>
      <c r="L412" t="str">
        <f t="shared" si="13"/>
        <v>2023-05</v>
      </c>
    </row>
    <row r="413" spans="1:12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f>Table1[[#This Row],[Quantity]]*Table1[[#This Row],[Price per Unit]]</f>
        <v>2000</v>
      </c>
      <c r="K413" t="str">
        <f t="shared" si="12"/>
        <v>Under 25</v>
      </c>
      <c r="L413" t="str">
        <f t="shared" si="13"/>
        <v>2023-09</v>
      </c>
    </row>
    <row r="414" spans="1:12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f>Table1[[#This Row],[Quantity]]*Table1[[#This Row],[Price per Unit]]</f>
        <v>75</v>
      </c>
      <c r="K414" t="str">
        <f t="shared" si="12"/>
        <v>35–44</v>
      </c>
      <c r="L414" t="str">
        <f t="shared" si="13"/>
        <v>2023-09</v>
      </c>
    </row>
    <row r="415" spans="1:12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f>Table1[[#This Row],[Quantity]]*Table1[[#This Row],[Price per Unit]]</f>
        <v>100</v>
      </c>
      <c r="K415" t="str">
        <f t="shared" si="12"/>
        <v>45–54</v>
      </c>
      <c r="L415" t="str">
        <f t="shared" si="13"/>
        <v>2023-05</v>
      </c>
    </row>
    <row r="416" spans="1:12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f>Table1[[#This Row],[Quantity]]*Table1[[#This Row],[Price per Unit]]</f>
        <v>60</v>
      </c>
      <c r="K416" t="str">
        <f t="shared" si="12"/>
        <v>45–54</v>
      </c>
      <c r="L416" t="str">
        <f t="shared" si="13"/>
        <v>2023-01</v>
      </c>
    </row>
    <row r="417" spans="1:12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f>Table1[[#This Row],[Quantity]]*Table1[[#This Row],[Price per Unit]]</f>
        <v>2000</v>
      </c>
      <c r="K417" t="str">
        <f t="shared" si="12"/>
        <v>45–54</v>
      </c>
      <c r="L417" t="str">
        <f t="shared" si="13"/>
        <v>2023-02</v>
      </c>
    </row>
    <row r="418" spans="1:12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f>Table1[[#This Row],[Quantity]]*Table1[[#This Row],[Price per Unit]]</f>
        <v>900</v>
      </c>
      <c r="K418" t="str">
        <f t="shared" si="12"/>
        <v>35–44</v>
      </c>
      <c r="L418" t="str">
        <f t="shared" si="13"/>
        <v>2023-11</v>
      </c>
    </row>
    <row r="419" spans="1:12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f>Table1[[#This Row],[Quantity]]*Table1[[#This Row],[Price per Unit]]</f>
        <v>1000</v>
      </c>
      <c r="K419" t="str">
        <f t="shared" si="12"/>
        <v>55+</v>
      </c>
      <c r="L419" t="str">
        <f t="shared" si="13"/>
        <v>2023-08</v>
      </c>
    </row>
    <row r="420" spans="1:12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f>Table1[[#This Row],[Quantity]]*Table1[[#This Row],[Price per Unit]]</f>
        <v>90</v>
      </c>
      <c r="K420" t="str">
        <f t="shared" si="12"/>
        <v>35–44</v>
      </c>
      <c r="L420" t="str">
        <f t="shared" si="13"/>
        <v>2023-05</v>
      </c>
    </row>
    <row r="421" spans="1:12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f>Table1[[#This Row],[Quantity]]*Table1[[#This Row],[Price per Unit]]</f>
        <v>2000</v>
      </c>
      <c r="K421" t="str">
        <f t="shared" si="12"/>
        <v>Under 25</v>
      </c>
      <c r="L421" t="str">
        <f t="shared" si="13"/>
        <v>2023-01</v>
      </c>
    </row>
    <row r="422" spans="1:12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f>Table1[[#This Row],[Quantity]]*Table1[[#This Row],[Price per Unit]]</f>
        <v>1500</v>
      </c>
      <c r="K422" t="str">
        <f t="shared" si="12"/>
        <v>35–44</v>
      </c>
      <c r="L422" t="str">
        <f t="shared" si="13"/>
        <v>2023-01</v>
      </c>
    </row>
    <row r="423" spans="1:12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f>Table1[[#This Row],[Quantity]]*Table1[[#This Row],[Price per Unit]]</f>
        <v>90</v>
      </c>
      <c r="K423" t="str">
        <f t="shared" si="12"/>
        <v>25–34</v>
      </c>
      <c r="L423" t="str">
        <f t="shared" si="13"/>
        <v>2023-06</v>
      </c>
    </row>
    <row r="424" spans="1:12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f>Table1[[#This Row],[Quantity]]*Table1[[#This Row],[Price per Unit]]</f>
        <v>25</v>
      </c>
      <c r="K424" t="str">
        <f t="shared" si="12"/>
        <v>25–34</v>
      </c>
      <c r="L424" t="str">
        <f t="shared" si="13"/>
        <v>2023-03</v>
      </c>
    </row>
    <row r="425" spans="1:12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f>Table1[[#This Row],[Quantity]]*Table1[[#This Row],[Price per Unit]]</f>
        <v>1200</v>
      </c>
      <c r="K425" t="str">
        <f t="shared" si="12"/>
        <v>55+</v>
      </c>
      <c r="L425" t="str">
        <f t="shared" si="13"/>
        <v>2023-11</v>
      </c>
    </row>
    <row r="426" spans="1:12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f>Table1[[#This Row],[Quantity]]*Table1[[#This Row],[Price per Unit]]</f>
        <v>120</v>
      </c>
      <c r="K426" t="str">
        <f t="shared" si="12"/>
        <v>55+</v>
      </c>
      <c r="L426" t="str">
        <f t="shared" si="13"/>
        <v>2023-05</v>
      </c>
    </row>
    <row r="427" spans="1:12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f>Table1[[#This Row],[Quantity]]*Table1[[#This Row],[Price per Unit]]</f>
        <v>150</v>
      </c>
      <c r="K427" t="str">
        <f t="shared" si="12"/>
        <v>Under 25</v>
      </c>
      <c r="L427" t="str">
        <f t="shared" si="13"/>
        <v>2023-03</v>
      </c>
    </row>
    <row r="428" spans="1:12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f>Table1[[#This Row],[Quantity]]*Table1[[#This Row],[Price per Unit]]</f>
        <v>25</v>
      </c>
      <c r="K428" t="str">
        <f t="shared" si="12"/>
        <v>25–34</v>
      </c>
      <c r="L428" t="str">
        <f t="shared" si="13"/>
        <v>2023-08</v>
      </c>
    </row>
    <row r="429" spans="1:12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f>Table1[[#This Row],[Quantity]]*Table1[[#This Row],[Price per Unit]]</f>
        <v>200</v>
      </c>
      <c r="K429" t="str">
        <f t="shared" si="12"/>
        <v>35–44</v>
      </c>
      <c r="L429" t="str">
        <f t="shared" si="13"/>
        <v>2023-10</v>
      </c>
    </row>
    <row r="430" spans="1:12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f>Table1[[#This Row],[Quantity]]*Table1[[#This Row],[Price per Unit]]</f>
        <v>50</v>
      </c>
      <c r="K430" t="str">
        <f t="shared" si="12"/>
        <v>55+</v>
      </c>
      <c r="L430" t="str">
        <f t="shared" si="13"/>
        <v>2023-12</v>
      </c>
    </row>
    <row r="431" spans="1:12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f>Table1[[#This Row],[Quantity]]*Table1[[#This Row],[Price per Unit]]</f>
        <v>900</v>
      </c>
      <c r="K431" t="str">
        <f t="shared" si="12"/>
        <v>35–44</v>
      </c>
      <c r="L431" t="str">
        <f t="shared" si="13"/>
        <v>2023-08</v>
      </c>
    </row>
    <row r="432" spans="1:12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f>Table1[[#This Row],[Quantity]]*Table1[[#This Row],[Price per Unit]]</f>
        <v>1200</v>
      </c>
      <c r="K432" t="str">
        <f t="shared" si="12"/>
        <v>55+</v>
      </c>
      <c r="L432" t="str">
        <f t="shared" si="13"/>
        <v>2023-10</v>
      </c>
    </row>
    <row r="433" spans="1:12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f>Table1[[#This Row],[Quantity]]*Table1[[#This Row],[Price per Unit]]</f>
        <v>1000</v>
      </c>
      <c r="K433" t="str">
        <f t="shared" si="12"/>
        <v>55+</v>
      </c>
      <c r="L433" t="str">
        <f t="shared" si="13"/>
        <v>2023-01</v>
      </c>
    </row>
    <row r="434" spans="1:12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f>Table1[[#This Row],[Quantity]]*Table1[[#This Row],[Price per Unit]]</f>
        <v>200</v>
      </c>
      <c r="K434" t="str">
        <f t="shared" si="12"/>
        <v>25–34</v>
      </c>
      <c r="L434" t="str">
        <f t="shared" si="13"/>
        <v>2023-02</v>
      </c>
    </row>
    <row r="435" spans="1:12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f>Table1[[#This Row],[Quantity]]*Table1[[#This Row],[Price per Unit]]</f>
        <v>50</v>
      </c>
      <c r="K435" t="str">
        <f t="shared" si="12"/>
        <v>35–44</v>
      </c>
      <c r="L435" t="str">
        <f t="shared" si="13"/>
        <v>2023-02</v>
      </c>
    </row>
    <row r="436" spans="1:12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f>Table1[[#This Row],[Quantity]]*Table1[[#This Row],[Price per Unit]]</f>
        <v>900</v>
      </c>
      <c r="K436" t="str">
        <f t="shared" si="12"/>
        <v>25–34</v>
      </c>
      <c r="L436" t="str">
        <f t="shared" si="13"/>
        <v>2023-12</v>
      </c>
    </row>
    <row r="437" spans="1:12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f>Table1[[#This Row],[Quantity]]*Table1[[#This Row],[Price per Unit]]</f>
        <v>120</v>
      </c>
      <c r="K437" t="str">
        <f t="shared" si="12"/>
        <v>55+</v>
      </c>
      <c r="L437" t="str">
        <f t="shared" si="13"/>
        <v>2023-03</v>
      </c>
    </row>
    <row r="438" spans="1:12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f>Table1[[#This Row],[Quantity]]*Table1[[#This Row],[Price per Unit]]</f>
        <v>1200</v>
      </c>
      <c r="K438" t="str">
        <f t="shared" si="12"/>
        <v>35–44</v>
      </c>
      <c r="L438" t="str">
        <f t="shared" si="13"/>
        <v>2023-10</v>
      </c>
    </row>
    <row r="439" spans="1:12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f>Table1[[#This Row],[Quantity]]*Table1[[#This Row],[Price per Unit]]</f>
        <v>30</v>
      </c>
      <c r="K439" t="str">
        <f t="shared" si="12"/>
        <v>35–44</v>
      </c>
      <c r="L439" t="str">
        <f t="shared" si="13"/>
        <v>2023-01</v>
      </c>
    </row>
    <row r="440" spans="1:12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f>Table1[[#This Row],[Quantity]]*Table1[[#This Row],[Price per Unit]]</f>
        <v>75</v>
      </c>
      <c r="K440" t="str">
        <f t="shared" si="12"/>
        <v>45–54</v>
      </c>
      <c r="L440" t="str">
        <f t="shared" si="13"/>
        <v>2023-07</v>
      </c>
    </row>
    <row r="441" spans="1:12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f>Table1[[#This Row],[Quantity]]*Table1[[#This Row],[Price per Unit]]</f>
        <v>600</v>
      </c>
      <c r="K441" t="str">
        <f t="shared" si="12"/>
        <v>55+</v>
      </c>
      <c r="L441" t="str">
        <f t="shared" si="13"/>
        <v>2023-10</v>
      </c>
    </row>
    <row r="442" spans="1:12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f>Table1[[#This Row],[Quantity]]*Table1[[#This Row],[Price per Unit]]</f>
        <v>1200</v>
      </c>
      <c r="K442" t="str">
        <f t="shared" si="12"/>
        <v>55+</v>
      </c>
      <c r="L442" t="str">
        <f t="shared" si="13"/>
        <v>2023-10</v>
      </c>
    </row>
    <row r="443" spans="1:12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f>Table1[[#This Row],[Quantity]]*Table1[[#This Row],[Price per Unit]]</f>
        <v>100</v>
      </c>
      <c r="K443" t="str">
        <f t="shared" si="12"/>
        <v>55+</v>
      </c>
      <c r="L443" t="str">
        <f t="shared" si="13"/>
        <v>2023-03</v>
      </c>
    </row>
    <row r="444" spans="1:12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f>Table1[[#This Row],[Quantity]]*Table1[[#This Row],[Price per Unit]]</f>
        <v>600</v>
      </c>
      <c r="K444" t="str">
        <f t="shared" si="12"/>
        <v>25–34</v>
      </c>
      <c r="L444" t="str">
        <f t="shared" si="13"/>
        <v>2023-08</v>
      </c>
    </row>
    <row r="445" spans="1:12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f>Table1[[#This Row],[Quantity]]*Table1[[#This Row],[Price per Unit]]</f>
        <v>90</v>
      </c>
      <c r="K445" t="str">
        <f t="shared" si="12"/>
        <v>55+</v>
      </c>
      <c r="L445" t="str">
        <f t="shared" si="13"/>
        <v>2023-03</v>
      </c>
    </row>
    <row r="446" spans="1:12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f>Table1[[#This Row],[Quantity]]*Table1[[#This Row],[Price per Unit]]</f>
        <v>300</v>
      </c>
      <c r="K446" t="str">
        <f t="shared" si="12"/>
        <v>45–54</v>
      </c>
      <c r="L446" t="str">
        <f t="shared" si="13"/>
        <v>2023-01</v>
      </c>
    </row>
    <row r="447" spans="1:12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f>Table1[[#This Row],[Quantity]]*Table1[[#This Row],[Price per Unit]]</f>
        <v>50</v>
      </c>
      <c r="K447" t="str">
        <f t="shared" si="12"/>
        <v>Under 25</v>
      </c>
      <c r="L447" t="str">
        <f t="shared" si="13"/>
        <v>2023-06</v>
      </c>
    </row>
    <row r="448" spans="1:12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f>Table1[[#This Row],[Quantity]]*Table1[[#This Row],[Price per Unit]]</f>
        <v>2000</v>
      </c>
      <c r="K448" t="str">
        <f t="shared" si="12"/>
        <v>Under 25</v>
      </c>
      <c r="L448" t="str">
        <f t="shared" si="13"/>
        <v>2023-07</v>
      </c>
    </row>
    <row r="449" spans="1:12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f>Table1[[#This Row],[Quantity]]*Table1[[#This Row],[Price per Unit]]</f>
        <v>60</v>
      </c>
      <c r="K449" t="str">
        <f t="shared" si="12"/>
        <v>45–54</v>
      </c>
      <c r="L449" t="str">
        <f t="shared" si="13"/>
        <v>2023-01</v>
      </c>
    </row>
    <row r="450" spans="1:12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f>Table1[[#This Row],[Quantity]]*Table1[[#This Row],[Price per Unit]]</f>
        <v>200</v>
      </c>
      <c r="K450" t="str">
        <f t="shared" ref="K450:K513" si="14">IF(E450&lt;25,"Under 25",
IF(E450&lt;35,"25–34",
IF(E450&lt;45,"35–44",
IF(E450&lt;55,"45–54","55+"))))</f>
        <v>25–34</v>
      </c>
      <c r="L450" t="str">
        <f t="shared" ref="L450:L513" si="15">TEXT(B450,"yyyy-mm")</f>
        <v>2023-07</v>
      </c>
    </row>
    <row r="451" spans="1:12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f>Table1[[#This Row],[Quantity]]*Table1[[#This Row],[Price per Unit]]</f>
        <v>50</v>
      </c>
      <c r="K451" t="str">
        <f t="shared" si="14"/>
        <v>55+</v>
      </c>
      <c r="L451" t="str">
        <f t="shared" si="15"/>
        <v>2023-04</v>
      </c>
    </row>
    <row r="452" spans="1:12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f>Table1[[#This Row],[Quantity]]*Table1[[#This Row],[Price per Unit]]</f>
        <v>30</v>
      </c>
      <c r="K452" t="str">
        <f t="shared" si="14"/>
        <v>45–54</v>
      </c>
      <c r="L452" t="str">
        <f t="shared" si="15"/>
        <v>2023-12</v>
      </c>
    </row>
    <row r="453" spans="1:12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f>Table1[[#This Row],[Quantity]]*Table1[[#This Row],[Price per Unit]]</f>
        <v>1500</v>
      </c>
      <c r="K453" t="str">
        <f t="shared" si="14"/>
        <v>45–54</v>
      </c>
      <c r="L453" t="str">
        <f t="shared" si="15"/>
        <v>2023-05</v>
      </c>
    </row>
    <row r="454" spans="1:12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f>Table1[[#This Row],[Quantity]]*Table1[[#This Row],[Price per Unit]]</f>
        <v>1000</v>
      </c>
      <c r="K454" t="str">
        <f t="shared" si="14"/>
        <v>25–34</v>
      </c>
      <c r="L454" t="str">
        <f t="shared" si="15"/>
        <v>2023-12</v>
      </c>
    </row>
    <row r="455" spans="1:12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f>Table1[[#This Row],[Quantity]]*Table1[[#This Row],[Price per Unit]]</f>
        <v>25</v>
      </c>
      <c r="K455" t="str">
        <f t="shared" si="14"/>
        <v>45–54</v>
      </c>
      <c r="L455" t="str">
        <f t="shared" si="15"/>
        <v>2023-02</v>
      </c>
    </row>
    <row r="456" spans="1:12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f>Table1[[#This Row],[Quantity]]*Table1[[#This Row],[Price per Unit]]</f>
        <v>100</v>
      </c>
      <c r="K456" t="str">
        <f t="shared" si="14"/>
        <v>25–34</v>
      </c>
      <c r="L456" t="str">
        <f t="shared" si="15"/>
        <v>2023-07</v>
      </c>
    </row>
    <row r="457" spans="1:12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f>Table1[[#This Row],[Quantity]]*Table1[[#This Row],[Price per Unit]]</f>
        <v>60</v>
      </c>
      <c r="K457" t="str">
        <f t="shared" si="14"/>
        <v>55+</v>
      </c>
      <c r="L457" t="str">
        <f t="shared" si="15"/>
        <v>2023-10</v>
      </c>
    </row>
    <row r="458" spans="1:12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f>Table1[[#This Row],[Quantity]]*Table1[[#This Row],[Price per Unit]]</f>
        <v>900</v>
      </c>
      <c r="K458" t="str">
        <f t="shared" si="14"/>
        <v>55+</v>
      </c>
      <c r="L458" t="str">
        <f t="shared" si="15"/>
        <v>2023-07</v>
      </c>
    </row>
    <row r="459" spans="1:12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f>Table1[[#This Row],[Quantity]]*Table1[[#This Row],[Price per Unit]]</f>
        <v>100</v>
      </c>
      <c r="K459" t="str">
        <f t="shared" si="14"/>
        <v>35–44</v>
      </c>
      <c r="L459" t="str">
        <f t="shared" si="15"/>
        <v>2023-11</v>
      </c>
    </row>
    <row r="460" spans="1:12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f>Table1[[#This Row],[Quantity]]*Table1[[#This Row],[Price per Unit]]</f>
        <v>1200</v>
      </c>
      <c r="K460" t="str">
        <f t="shared" si="14"/>
        <v>25–34</v>
      </c>
      <c r="L460" t="str">
        <f t="shared" si="15"/>
        <v>2023-03</v>
      </c>
    </row>
    <row r="461" spans="1:12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f>Table1[[#This Row],[Quantity]]*Table1[[#This Row],[Price per Unit]]</f>
        <v>50</v>
      </c>
      <c r="K461" t="str">
        <f t="shared" si="14"/>
        <v>35–44</v>
      </c>
      <c r="L461" t="str">
        <f t="shared" si="15"/>
        <v>2023-05</v>
      </c>
    </row>
    <row r="462" spans="1:12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f>Table1[[#This Row],[Quantity]]*Table1[[#This Row],[Price per Unit]]</f>
        <v>1000</v>
      </c>
      <c r="K462" t="str">
        <f t="shared" si="14"/>
        <v>Under 25</v>
      </c>
      <c r="L462" t="str">
        <f t="shared" si="15"/>
        <v>2023-03</v>
      </c>
    </row>
    <row r="463" spans="1:12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f>Table1[[#This Row],[Quantity]]*Table1[[#This Row],[Price per Unit]]</f>
        <v>1200</v>
      </c>
      <c r="K463" t="str">
        <f t="shared" si="14"/>
        <v>55+</v>
      </c>
      <c r="L463" t="str">
        <f t="shared" si="15"/>
        <v>2023-04</v>
      </c>
    </row>
    <row r="464" spans="1:12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f>Table1[[#This Row],[Quantity]]*Table1[[#This Row],[Price per Unit]]</f>
        <v>1500</v>
      </c>
      <c r="K464" t="str">
        <f t="shared" si="14"/>
        <v>45–54</v>
      </c>
      <c r="L464" t="str">
        <f t="shared" si="15"/>
        <v>2023-07</v>
      </c>
    </row>
    <row r="465" spans="1:12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f>Table1[[#This Row],[Quantity]]*Table1[[#This Row],[Price per Unit]]</f>
        <v>600</v>
      </c>
      <c r="K465" t="str">
        <f t="shared" si="14"/>
        <v>35–44</v>
      </c>
      <c r="L465" t="str">
        <f t="shared" si="15"/>
        <v>2023-01</v>
      </c>
    </row>
    <row r="466" spans="1:12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f>Table1[[#This Row],[Quantity]]*Table1[[#This Row],[Price per Unit]]</f>
        <v>150</v>
      </c>
      <c r="K466" t="str">
        <f t="shared" si="14"/>
        <v>35–44</v>
      </c>
      <c r="L466" t="str">
        <f t="shared" si="15"/>
        <v>2023-04</v>
      </c>
    </row>
    <row r="467" spans="1:12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f>Table1[[#This Row],[Quantity]]*Table1[[#This Row],[Price per Unit]]</f>
        <v>100</v>
      </c>
      <c r="K467" t="str">
        <f t="shared" si="14"/>
        <v>55+</v>
      </c>
      <c r="L467" t="str">
        <f t="shared" si="15"/>
        <v>2023-06</v>
      </c>
    </row>
    <row r="468" spans="1:12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f>Table1[[#This Row],[Quantity]]*Table1[[#This Row],[Price per Unit]]</f>
        <v>150</v>
      </c>
      <c r="K468" t="str">
        <f t="shared" si="14"/>
        <v>45–54</v>
      </c>
      <c r="L468" t="str">
        <f t="shared" si="15"/>
        <v>2023-07</v>
      </c>
    </row>
    <row r="469" spans="1:12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f>Table1[[#This Row],[Quantity]]*Table1[[#This Row],[Price per Unit]]</f>
        <v>25</v>
      </c>
      <c r="K469" t="str">
        <f t="shared" si="14"/>
        <v>35–44</v>
      </c>
      <c r="L469" t="str">
        <f t="shared" si="15"/>
        <v>2023-12</v>
      </c>
    </row>
    <row r="470" spans="1:12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f>Table1[[#This Row],[Quantity]]*Table1[[#This Row],[Price per Unit]]</f>
        <v>75</v>
      </c>
      <c r="K470" t="str">
        <f t="shared" si="14"/>
        <v>Under 25</v>
      </c>
      <c r="L470" t="str">
        <f t="shared" si="15"/>
        <v>2023-05</v>
      </c>
    </row>
    <row r="471" spans="1:12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f>Table1[[#This Row],[Quantity]]*Table1[[#This Row],[Price per Unit]]</f>
        <v>1000</v>
      </c>
      <c r="K471" t="str">
        <f t="shared" si="14"/>
        <v>55+</v>
      </c>
      <c r="L471" t="str">
        <f t="shared" si="15"/>
        <v>2023-05</v>
      </c>
    </row>
    <row r="472" spans="1:12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f>Table1[[#This Row],[Quantity]]*Table1[[#This Row],[Price per Unit]]</f>
        <v>150</v>
      </c>
      <c r="K472" t="str">
        <f t="shared" si="14"/>
        <v>25–34</v>
      </c>
      <c r="L472" t="str">
        <f t="shared" si="15"/>
        <v>2023-03</v>
      </c>
    </row>
    <row r="473" spans="1:12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f>Table1[[#This Row],[Quantity]]*Table1[[#This Row],[Price per Unit]]</f>
        <v>900</v>
      </c>
      <c r="K473" t="str">
        <f t="shared" si="14"/>
        <v>35–44</v>
      </c>
      <c r="L473" t="str">
        <f t="shared" si="15"/>
        <v>2023-12</v>
      </c>
    </row>
    <row r="474" spans="1:12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f>Table1[[#This Row],[Quantity]]*Table1[[#This Row],[Price per Unit]]</f>
        <v>50</v>
      </c>
      <c r="K474" t="str">
        <f t="shared" si="14"/>
        <v>55+</v>
      </c>
      <c r="L474" t="str">
        <f t="shared" si="15"/>
        <v>2023-02</v>
      </c>
    </row>
    <row r="475" spans="1:12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f>Table1[[#This Row],[Quantity]]*Table1[[#This Row],[Price per Unit]]</f>
        <v>1500</v>
      </c>
      <c r="K475" t="str">
        <f t="shared" si="14"/>
        <v>25–34</v>
      </c>
      <c r="L475" t="str">
        <f t="shared" si="15"/>
        <v>2023-07</v>
      </c>
    </row>
    <row r="476" spans="1:12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f>Table1[[#This Row],[Quantity]]*Table1[[#This Row],[Price per Unit]]</f>
        <v>75</v>
      </c>
      <c r="K476" t="str">
        <f t="shared" si="14"/>
        <v>25–34</v>
      </c>
      <c r="L476" t="str">
        <f t="shared" si="15"/>
        <v>2023-01</v>
      </c>
    </row>
    <row r="477" spans="1:12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f>Table1[[#This Row],[Quantity]]*Table1[[#This Row],[Price per Unit]]</f>
        <v>2000</v>
      </c>
      <c r="K477" t="str">
        <f t="shared" si="14"/>
        <v>25–34</v>
      </c>
      <c r="L477" t="str">
        <f t="shared" si="15"/>
        <v>2023-08</v>
      </c>
    </row>
    <row r="478" spans="1:12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f>Table1[[#This Row],[Quantity]]*Table1[[#This Row],[Price per Unit]]</f>
        <v>120</v>
      </c>
      <c r="K478" t="str">
        <f t="shared" si="14"/>
        <v>35–44</v>
      </c>
      <c r="L478" t="str">
        <f t="shared" si="15"/>
        <v>2023-04</v>
      </c>
    </row>
    <row r="479" spans="1:12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f>Table1[[#This Row],[Quantity]]*Table1[[#This Row],[Price per Unit]]</f>
        <v>60</v>
      </c>
      <c r="K479" t="str">
        <f t="shared" si="14"/>
        <v>55+</v>
      </c>
      <c r="L479" t="str">
        <f t="shared" si="15"/>
        <v>2023-04</v>
      </c>
    </row>
    <row r="480" spans="1:12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f>Table1[[#This Row],[Quantity]]*Table1[[#This Row],[Price per Unit]]</f>
        <v>1200</v>
      </c>
      <c r="K480" t="str">
        <f t="shared" si="14"/>
        <v>45–54</v>
      </c>
      <c r="L480" t="str">
        <f t="shared" si="15"/>
        <v>2023-08</v>
      </c>
    </row>
    <row r="481" spans="1:12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f>Table1[[#This Row],[Quantity]]*Table1[[#This Row],[Price per Unit]]</f>
        <v>2000</v>
      </c>
      <c r="K481" t="str">
        <f t="shared" si="14"/>
        <v>35–44</v>
      </c>
      <c r="L481" t="str">
        <f t="shared" si="15"/>
        <v>2023-06</v>
      </c>
    </row>
    <row r="482" spans="1:12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f>Table1[[#This Row],[Quantity]]*Table1[[#This Row],[Price per Unit]]</f>
        <v>1200</v>
      </c>
      <c r="K482" t="str">
        <f t="shared" si="14"/>
        <v>35–44</v>
      </c>
      <c r="L482" t="str">
        <f t="shared" si="15"/>
        <v>2023-06</v>
      </c>
    </row>
    <row r="483" spans="1:12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f>Table1[[#This Row],[Quantity]]*Table1[[#This Row],[Price per Unit]]</f>
        <v>1200</v>
      </c>
      <c r="K483" t="str">
        <f t="shared" si="14"/>
        <v>25–34</v>
      </c>
      <c r="L483" t="str">
        <f t="shared" si="15"/>
        <v>2023-04</v>
      </c>
    </row>
    <row r="484" spans="1:12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f>Table1[[#This Row],[Quantity]]*Table1[[#This Row],[Price per Unit]]</f>
        <v>30</v>
      </c>
      <c r="K484" t="str">
        <f t="shared" si="14"/>
        <v>55+</v>
      </c>
      <c r="L484" t="str">
        <f t="shared" si="15"/>
        <v>2023-04</v>
      </c>
    </row>
    <row r="485" spans="1:12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f>Table1[[#This Row],[Quantity]]*Table1[[#This Row],[Price per Unit]]</f>
        <v>1200</v>
      </c>
      <c r="K485" t="str">
        <f t="shared" si="14"/>
        <v>Under 25</v>
      </c>
      <c r="L485" t="str">
        <f t="shared" si="15"/>
        <v>2023-01</v>
      </c>
    </row>
    <row r="486" spans="1:12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f>Table1[[#This Row],[Quantity]]*Table1[[#This Row],[Price per Unit]]</f>
        <v>30</v>
      </c>
      <c r="K486" t="str">
        <f t="shared" si="14"/>
        <v>Under 25</v>
      </c>
      <c r="L486" t="str">
        <f t="shared" si="15"/>
        <v>2023-12</v>
      </c>
    </row>
    <row r="487" spans="1:12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f>Table1[[#This Row],[Quantity]]*Table1[[#This Row],[Price per Unit]]</f>
        <v>25</v>
      </c>
      <c r="K487" t="str">
        <f t="shared" si="14"/>
        <v>35–44</v>
      </c>
      <c r="L487" t="str">
        <f t="shared" si="15"/>
        <v>2023-04</v>
      </c>
    </row>
    <row r="488" spans="1:12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f>Table1[[#This Row],[Quantity]]*Table1[[#This Row],[Price per Unit]]</f>
        <v>2000</v>
      </c>
      <c r="K488" t="str">
        <f t="shared" si="14"/>
        <v>35–44</v>
      </c>
      <c r="L488" t="str">
        <f t="shared" si="15"/>
        <v>2023-07</v>
      </c>
    </row>
    <row r="489" spans="1:12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f>Table1[[#This Row],[Quantity]]*Table1[[#This Row],[Price per Unit]]</f>
        <v>900</v>
      </c>
      <c r="K489" t="str">
        <f t="shared" si="14"/>
        <v>45–54</v>
      </c>
      <c r="L489" t="str">
        <f t="shared" si="15"/>
        <v>2023-06</v>
      </c>
    </row>
    <row r="490" spans="1:12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f>Table1[[#This Row],[Quantity]]*Table1[[#This Row],[Price per Unit]]</f>
        <v>30</v>
      </c>
      <c r="K490" t="str">
        <f t="shared" si="14"/>
        <v>35–44</v>
      </c>
      <c r="L490" t="str">
        <f t="shared" si="15"/>
        <v>2023-05</v>
      </c>
    </row>
    <row r="491" spans="1:12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f>Table1[[#This Row],[Quantity]]*Table1[[#This Row],[Price per Unit]]</f>
        <v>150</v>
      </c>
      <c r="K491" t="str">
        <f t="shared" si="14"/>
        <v>25–34</v>
      </c>
      <c r="L491" t="str">
        <f t="shared" si="15"/>
        <v>2023-02</v>
      </c>
    </row>
    <row r="492" spans="1:12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f>Table1[[#This Row],[Quantity]]*Table1[[#This Row],[Price per Unit]]</f>
        <v>900</v>
      </c>
      <c r="K492" t="str">
        <f t="shared" si="14"/>
        <v>55+</v>
      </c>
      <c r="L492" t="str">
        <f t="shared" si="15"/>
        <v>2023-05</v>
      </c>
    </row>
    <row r="493" spans="1:12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f>Table1[[#This Row],[Quantity]]*Table1[[#This Row],[Price per Unit]]</f>
        <v>100</v>
      </c>
      <c r="K493" t="str">
        <f t="shared" si="14"/>
        <v>55+</v>
      </c>
      <c r="L493" t="str">
        <f t="shared" si="15"/>
        <v>2023-06</v>
      </c>
    </row>
    <row r="494" spans="1:12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f>Table1[[#This Row],[Quantity]]*Table1[[#This Row],[Price per Unit]]</f>
        <v>50</v>
      </c>
      <c r="K494" t="str">
        <f t="shared" si="14"/>
        <v>35–44</v>
      </c>
      <c r="L494" t="str">
        <f t="shared" si="15"/>
        <v>2023-11</v>
      </c>
    </row>
    <row r="495" spans="1:12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f>Table1[[#This Row],[Quantity]]*Table1[[#This Row],[Price per Unit]]</f>
        <v>200</v>
      </c>
      <c r="K495" t="str">
        <f t="shared" si="14"/>
        <v>35–44</v>
      </c>
      <c r="L495" t="str">
        <f t="shared" si="15"/>
        <v>2023-09</v>
      </c>
    </row>
    <row r="496" spans="1:12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f>Table1[[#This Row],[Quantity]]*Table1[[#This Row],[Price per Unit]]</f>
        <v>60</v>
      </c>
      <c r="K496" t="str">
        <f t="shared" si="14"/>
        <v>Under 25</v>
      </c>
      <c r="L496" t="str">
        <f t="shared" si="15"/>
        <v>2023-07</v>
      </c>
    </row>
    <row r="497" spans="1:12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f>Table1[[#This Row],[Quantity]]*Table1[[#This Row],[Price per Unit]]</f>
        <v>600</v>
      </c>
      <c r="K497" t="str">
        <f t="shared" si="14"/>
        <v>Under 25</v>
      </c>
      <c r="L497" t="str">
        <f t="shared" si="15"/>
        <v>2023-12</v>
      </c>
    </row>
    <row r="498" spans="1:12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f>Table1[[#This Row],[Quantity]]*Table1[[#This Row],[Price per Unit]]</f>
        <v>120</v>
      </c>
      <c r="K498" t="str">
        <f t="shared" si="14"/>
        <v>35–44</v>
      </c>
      <c r="L498" t="str">
        <f t="shared" si="15"/>
        <v>2023-10</v>
      </c>
    </row>
    <row r="499" spans="1:12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f>Table1[[#This Row],[Quantity]]*Table1[[#This Row],[Price per Unit]]</f>
        <v>100</v>
      </c>
      <c r="K499" t="str">
        <f t="shared" si="14"/>
        <v>45–54</v>
      </c>
      <c r="L499" t="str">
        <f t="shared" si="15"/>
        <v>2023-06</v>
      </c>
    </row>
    <row r="500" spans="1:12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f>Table1[[#This Row],[Quantity]]*Table1[[#This Row],[Price per Unit]]</f>
        <v>60</v>
      </c>
      <c r="K500" t="str">
        <f t="shared" si="14"/>
        <v>45–54</v>
      </c>
      <c r="L500" t="str">
        <f t="shared" si="15"/>
        <v>2023-01</v>
      </c>
    </row>
    <row r="501" spans="1:12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f>Table1[[#This Row],[Quantity]]*Table1[[#This Row],[Price per Unit]]</f>
        <v>100</v>
      </c>
      <c r="K501" t="str">
        <f t="shared" si="14"/>
        <v>55+</v>
      </c>
      <c r="L501" t="str">
        <f t="shared" si="15"/>
        <v>2023-03</v>
      </c>
    </row>
    <row r="502" spans="1:12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f>Table1[[#This Row],[Quantity]]*Table1[[#This Row],[Price per Unit]]</f>
        <v>60</v>
      </c>
      <c r="K502" t="str">
        <f t="shared" si="14"/>
        <v>35–44</v>
      </c>
      <c r="L502" t="str">
        <f t="shared" si="15"/>
        <v>2023-05</v>
      </c>
    </row>
    <row r="503" spans="1:12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f>Table1[[#This Row],[Quantity]]*Table1[[#This Row],[Price per Unit]]</f>
        <v>150</v>
      </c>
      <c r="K503" t="str">
        <f t="shared" si="14"/>
        <v>35–44</v>
      </c>
      <c r="L503" t="str">
        <f t="shared" si="15"/>
        <v>2023-04</v>
      </c>
    </row>
    <row r="504" spans="1:12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f>Table1[[#This Row],[Quantity]]*Table1[[#This Row],[Price per Unit]]</f>
        <v>2000</v>
      </c>
      <c r="K504" t="str">
        <f t="shared" si="14"/>
        <v>45–54</v>
      </c>
      <c r="L504" t="str">
        <f t="shared" si="15"/>
        <v>2023-10</v>
      </c>
    </row>
    <row r="505" spans="1:12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f>Table1[[#This Row],[Quantity]]*Table1[[#This Row],[Price per Unit]]</f>
        <v>150</v>
      </c>
      <c r="K505" t="str">
        <f t="shared" si="14"/>
        <v>35–44</v>
      </c>
      <c r="L505" t="str">
        <f t="shared" si="15"/>
        <v>2023-05</v>
      </c>
    </row>
    <row r="506" spans="1:12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f>Table1[[#This Row],[Quantity]]*Table1[[#This Row],[Price per Unit]]</f>
        <v>50</v>
      </c>
      <c r="K506" t="str">
        <f t="shared" si="14"/>
        <v>Under 25</v>
      </c>
      <c r="L506" t="str">
        <f t="shared" si="15"/>
        <v>2023-01</v>
      </c>
    </row>
    <row r="507" spans="1:12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f>Table1[[#This Row],[Quantity]]*Table1[[#This Row],[Price per Unit]]</f>
        <v>1500</v>
      </c>
      <c r="K507" t="str">
        <f t="shared" si="14"/>
        <v>25–34</v>
      </c>
      <c r="L507" t="str">
        <f t="shared" si="15"/>
        <v>2023-02</v>
      </c>
    </row>
    <row r="508" spans="1:12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f>Table1[[#This Row],[Quantity]]*Table1[[#This Row],[Price per Unit]]</f>
        <v>1500</v>
      </c>
      <c r="K508" t="str">
        <f t="shared" si="14"/>
        <v>35–44</v>
      </c>
      <c r="L508" t="str">
        <f t="shared" si="15"/>
        <v>2023-11</v>
      </c>
    </row>
    <row r="509" spans="1:12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f>Table1[[#This Row],[Quantity]]*Table1[[#This Row],[Price per Unit]]</f>
        <v>600</v>
      </c>
      <c r="K509" t="str">
        <f t="shared" si="14"/>
        <v>55+</v>
      </c>
      <c r="L509" t="str">
        <f t="shared" si="15"/>
        <v>2023-08</v>
      </c>
    </row>
    <row r="510" spans="1:12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f>Table1[[#This Row],[Quantity]]*Table1[[#This Row],[Price per Unit]]</f>
        <v>900</v>
      </c>
      <c r="K510" t="str">
        <f t="shared" si="14"/>
        <v>35–44</v>
      </c>
      <c r="L510" t="str">
        <f t="shared" si="15"/>
        <v>2023-06</v>
      </c>
    </row>
    <row r="511" spans="1:12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f>Table1[[#This Row],[Quantity]]*Table1[[#This Row],[Price per Unit]]</f>
        <v>200</v>
      </c>
      <c r="K511" t="str">
        <f t="shared" si="14"/>
        <v>35–44</v>
      </c>
      <c r="L511" t="str">
        <f t="shared" si="15"/>
        <v>2023-06</v>
      </c>
    </row>
    <row r="512" spans="1:12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f>Table1[[#This Row],[Quantity]]*Table1[[#This Row],[Price per Unit]]</f>
        <v>100</v>
      </c>
      <c r="K512" t="str">
        <f t="shared" si="14"/>
        <v>45–54</v>
      </c>
      <c r="L512" t="str">
        <f t="shared" si="15"/>
        <v>2023-08</v>
      </c>
    </row>
    <row r="513" spans="1:12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f>Table1[[#This Row],[Quantity]]*Table1[[#This Row],[Price per Unit]]</f>
        <v>25</v>
      </c>
      <c r="K513" t="str">
        <f t="shared" si="14"/>
        <v>55+</v>
      </c>
      <c r="L513" t="str">
        <f t="shared" si="15"/>
        <v>2023-11</v>
      </c>
    </row>
    <row r="514" spans="1:12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f>Table1[[#This Row],[Quantity]]*Table1[[#This Row],[Price per Unit]]</f>
        <v>100</v>
      </c>
      <c r="K514" t="str">
        <f t="shared" ref="K514:K577" si="16">IF(E514&lt;25,"Under 25",
IF(E514&lt;35,"25–34",
IF(E514&lt;45,"35–44",
IF(E514&lt;55,"45–54","55+"))))</f>
        <v>Under 25</v>
      </c>
      <c r="L514" t="str">
        <f t="shared" ref="L514:L577" si="17">TEXT(B514,"yyyy-mm")</f>
        <v>2023-09</v>
      </c>
    </row>
    <row r="515" spans="1:12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f>Table1[[#This Row],[Quantity]]*Table1[[#This Row],[Price per Unit]]</f>
        <v>300</v>
      </c>
      <c r="K515" t="str">
        <f t="shared" si="16"/>
        <v>Under 25</v>
      </c>
      <c r="L515" t="str">
        <f t="shared" si="17"/>
        <v>2023-03</v>
      </c>
    </row>
    <row r="516" spans="1:12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f>Table1[[#This Row],[Quantity]]*Table1[[#This Row],[Price per Unit]]</f>
        <v>900</v>
      </c>
      <c r="K516" t="str">
        <f t="shared" si="16"/>
        <v>45–54</v>
      </c>
      <c r="L516" t="str">
        <f t="shared" si="17"/>
        <v>2023-07</v>
      </c>
    </row>
    <row r="517" spans="1:12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f>Table1[[#This Row],[Quantity]]*Table1[[#This Row],[Price per Unit]]</f>
        <v>100</v>
      </c>
      <c r="K517" t="str">
        <f t="shared" si="16"/>
        <v>25–34</v>
      </c>
      <c r="L517" t="str">
        <f t="shared" si="17"/>
        <v>2023-10</v>
      </c>
    </row>
    <row r="518" spans="1:12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f>Table1[[#This Row],[Quantity]]*Table1[[#This Row],[Price per Unit]]</f>
        <v>100</v>
      </c>
      <c r="K518" t="str">
        <f t="shared" si="16"/>
        <v>45–54</v>
      </c>
      <c r="L518" t="str">
        <f t="shared" si="17"/>
        <v>2023-04</v>
      </c>
    </row>
    <row r="519" spans="1:12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f>Table1[[#This Row],[Quantity]]*Table1[[#This Row],[Price per Unit]]</f>
        <v>30</v>
      </c>
      <c r="K519" t="str">
        <f t="shared" si="16"/>
        <v>35–44</v>
      </c>
      <c r="L519" t="str">
        <f t="shared" si="17"/>
        <v>2023-05</v>
      </c>
    </row>
    <row r="520" spans="1:12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f>Table1[[#This Row],[Quantity]]*Table1[[#This Row],[Price per Unit]]</f>
        <v>120</v>
      </c>
      <c r="K520" t="str">
        <f t="shared" si="16"/>
        <v>35–44</v>
      </c>
      <c r="L520" t="str">
        <f t="shared" si="17"/>
        <v>2023-01</v>
      </c>
    </row>
    <row r="521" spans="1:12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f>Table1[[#This Row],[Quantity]]*Table1[[#This Row],[Price per Unit]]</f>
        <v>100</v>
      </c>
      <c r="K521" t="str">
        <f t="shared" si="16"/>
        <v>45–54</v>
      </c>
      <c r="L521" t="str">
        <f t="shared" si="17"/>
        <v>2023-12</v>
      </c>
    </row>
    <row r="522" spans="1:12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f>Table1[[#This Row],[Quantity]]*Table1[[#This Row],[Price per Unit]]</f>
        <v>120</v>
      </c>
      <c r="K522" t="str">
        <f t="shared" si="16"/>
        <v>45–54</v>
      </c>
      <c r="L522" t="str">
        <f t="shared" si="17"/>
        <v>2023-08</v>
      </c>
    </row>
    <row r="523" spans="1:12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f>Table1[[#This Row],[Quantity]]*Table1[[#This Row],[Price per Unit]]</f>
        <v>1500</v>
      </c>
      <c r="K523" t="str">
        <f t="shared" si="16"/>
        <v>45–54</v>
      </c>
      <c r="L523" t="str">
        <f t="shared" si="17"/>
        <v>2023-01</v>
      </c>
    </row>
    <row r="524" spans="1:12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f>Table1[[#This Row],[Quantity]]*Table1[[#This Row],[Price per Unit]]</f>
        <v>300</v>
      </c>
      <c r="K524" t="str">
        <f t="shared" si="16"/>
        <v>55+</v>
      </c>
      <c r="L524" t="str">
        <f t="shared" si="17"/>
        <v>2023-09</v>
      </c>
    </row>
    <row r="525" spans="1:12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f>Table1[[#This Row],[Quantity]]*Table1[[#This Row],[Price per Unit]]</f>
        <v>1200</v>
      </c>
      <c r="K525" t="str">
        <f t="shared" si="16"/>
        <v>45–54</v>
      </c>
      <c r="L525" t="str">
        <f t="shared" si="17"/>
        <v>2023-10</v>
      </c>
    </row>
    <row r="526" spans="1:12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f>Table1[[#This Row],[Quantity]]*Table1[[#This Row],[Price per Unit]]</f>
        <v>50</v>
      </c>
      <c r="K526" t="str">
        <f t="shared" si="16"/>
        <v>45–54</v>
      </c>
      <c r="L526" t="str">
        <f t="shared" si="17"/>
        <v>2023-12</v>
      </c>
    </row>
    <row r="527" spans="1:12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f>Table1[[#This Row],[Quantity]]*Table1[[#This Row],[Price per Unit]]</f>
        <v>100</v>
      </c>
      <c r="K527" t="str">
        <f t="shared" si="16"/>
        <v>25–34</v>
      </c>
      <c r="L527" t="str">
        <f t="shared" si="17"/>
        <v>2023-12</v>
      </c>
    </row>
    <row r="528" spans="1:12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f>Table1[[#This Row],[Quantity]]*Table1[[#This Row],[Price per Unit]]</f>
        <v>50</v>
      </c>
      <c r="K528" t="str">
        <f t="shared" si="16"/>
        <v>55+</v>
      </c>
      <c r="L528" t="str">
        <f t="shared" si="17"/>
        <v>2023-04</v>
      </c>
    </row>
    <row r="529" spans="1:12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f>Table1[[#This Row],[Quantity]]*Table1[[#This Row],[Price per Unit]]</f>
        <v>60</v>
      </c>
      <c r="K529" t="str">
        <f t="shared" si="16"/>
        <v>35–44</v>
      </c>
      <c r="L529" t="str">
        <f t="shared" si="17"/>
        <v>2023-07</v>
      </c>
    </row>
    <row r="530" spans="1:12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f>Table1[[#This Row],[Quantity]]*Table1[[#This Row],[Price per Unit]]</f>
        <v>150</v>
      </c>
      <c r="K530" t="str">
        <f t="shared" si="16"/>
        <v>35–44</v>
      </c>
      <c r="L530" t="str">
        <f t="shared" si="17"/>
        <v>2023-08</v>
      </c>
    </row>
    <row r="531" spans="1:12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f>Table1[[#This Row],[Quantity]]*Table1[[#This Row],[Price per Unit]]</f>
        <v>120</v>
      </c>
      <c r="K531" t="str">
        <f t="shared" si="16"/>
        <v>Under 25</v>
      </c>
      <c r="L531" t="str">
        <f t="shared" si="17"/>
        <v>2023-02</v>
      </c>
    </row>
    <row r="532" spans="1:12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f>Table1[[#This Row],[Quantity]]*Table1[[#This Row],[Price per Unit]]</f>
        <v>500</v>
      </c>
      <c r="K532" t="str">
        <f t="shared" si="16"/>
        <v>25–34</v>
      </c>
      <c r="L532" t="str">
        <f t="shared" si="17"/>
        <v>2023-12</v>
      </c>
    </row>
    <row r="533" spans="1:12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f>Table1[[#This Row],[Quantity]]*Table1[[#This Row],[Price per Unit]]</f>
        <v>120</v>
      </c>
      <c r="K533" t="str">
        <f t="shared" si="16"/>
        <v>55+</v>
      </c>
      <c r="L533" t="str">
        <f t="shared" si="17"/>
        <v>2023-06</v>
      </c>
    </row>
    <row r="534" spans="1:12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f>Table1[[#This Row],[Quantity]]*Table1[[#This Row],[Price per Unit]]</f>
        <v>1500</v>
      </c>
      <c r="K534" t="str">
        <f t="shared" si="16"/>
        <v>Under 25</v>
      </c>
      <c r="L534" t="str">
        <f t="shared" si="17"/>
        <v>2023-11</v>
      </c>
    </row>
    <row r="535" spans="1:12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f>Table1[[#This Row],[Quantity]]*Table1[[#This Row],[Price per Unit]]</f>
        <v>1000</v>
      </c>
      <c r="K535" t="str">
        <f t="shared" si="16"/>
        <v>45–54</v>
      </c>
      <c r="L535" t="str">
        <f t="shared" si="17"/>
        <v>2023-06</v>
      </c>
    </row>
    <row r="536" spans="1:12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f>Table1[[#This Row],[Quantity]]*Table1[[#This Row],[Price per Unit]]</f>
        <v>90</v>
      </c>
      <c r="K536" t="str">
        <f t="shared" si="16"/>
        <v>45–54</v>
      </c>
      <c r="L536" t="str">
        <f t="shared" si="17"/>
        <v>2023-12</v>
      </c>
    </row>
    <row r="537" spans="1:12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f>Table1[[#This Row],[Quantity]]*Table1[[#This Row],[Price per Unit]]</f>
        <v>120</v>
      </c>
      <c r="K537" t="str">
        <f t="shared" si="16"/>
        <v>55+</v>
      </c>
      <c r="L537" t="str">
        <f t="shared" si="17"/>
        <v>2023-03</v>
      </c>
    </row>
    <row r="538" spans="1:12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f>Table1[[#This Row],[Quantity]]*Table1[[#This Row],[Price per Unit]]</f>
        <v>500</v>
      </c>
      <c r="K538" t="str">
        <f t="shared" si="16"/>
        <v>Under 25</v>
      </c>
      <c r="L538" t="str">
        <f t="shared" si="17"/>
        <v>2023-06</v>
      </c>
    </row>
    <row r="539" spans="1:12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f>Table1[[#This Row],[Quantity]]*Table1[[#This Row],[Price per Unit]]</f>
        <v>150</v>
      </c>
      <c r="K539" t="str">
        <f t="shared" si="16"/>
        <v>Under 25</v>
      </c>
      <c r="L539" t="str">
        <f t="shared" si="17"/>
        <v>2023-09</v>
      </c>
    </row>
    <row r="540" spans="1:12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f>Table1[[#This Row],[Quantity]]*Table1[[#This Row],[Price per Unit]]</f>
        <v>500</v>
      </c>
      <c r="K540" t="str">
        <f t="shared" si="16"/>
        <v>25–34</v>
      </c>
      <c r="L540" t="str">
        <f t="shared" si="17"/>
        <v>2023-06</v>
      </c>
    </row>
    <row r="541" spans="1:12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f>Table1[[#This Row],[Quantity]]*Table1[[#This Row],[Price per Unit]]</f>
        <v>900</v>
      </c>
      <c r="K541" t="str">
        <f t="shared" si="16"/>
        <v>45–54</v>
      </c>
      <c r="L541" t="str">
        <f t="shared" si="17"/>
        <v>2023-12</v>
      </c>
    </row>
    <row r="542" spans="1:12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f>Table1[[#This Row],[Quantity]]*Table1[[#This Row],[Price per Unit]]</f>
        <v>500</v>
      </c>
      <c r="K542" t="str">
        <f t="shared" si="16"/>
        <v>55+</v>
      </c>
      <c r="L542" t="str">
        <f t="shared" si="17"/>
        <v>2023-07</v>
      </c>
    </row>
    <row r="543" spans="1:12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f>Table1[[#This Row],[Quantity]]*Table1[[#This Row],[Price per Unit]]</f>
        <v>50</v>
      </c>
      <c r="K543" t="str">
        <f t="shared" si="16"/>
        <v>Under 25</v>
      </c>
      <c r="L543" t="str">
        <f t="shared" si="17"/>
        <v>2023-06</v>
      </c>
    </row>
    <row r="544" spans="1:12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f>Table1[[#This Row],[Quantity]]*Table1[[#This Row],[Price per Unit]]</f>
        <v>600</v>
      </c>
      <c r="K544" t="str">
        <f t="shared" si="16"/>
        <v>45–54</v>
      </c>
      <c r="L544" t="str">
        <f t="shared" si="17"/>
        <v>2023-07</v>
      </c>
    </row>
    <row r="545" spans="1:12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f>Table1[[#This Row],[Quantity]]*Table1[[#This Row],[Price per Unit]]</f>
        <v>25</v>
      </c>
      <c r="K545" t="str">
        <f t="shared" si="16"/>
        <v>25–34</v>
      </c>
      <c r="L545" t="str">
        <f t="shared" si="17"/>
        <v>2023-12</v>
      </c>
    </row>
    <row r="546" spans="1:12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f>Table1[[#This Row],[Quantity]]*Table1[[#This Row],[Price per Unit]]</f>
        <v>50</v>
      </c>
      <c r="K546" t="str">
        <f t="shared" si="16"/>
        <v>25–34</v>
      </c>
      <c r="L546" t="str">
        <f t="shared" si="17"/>
        <v>2023-06</v>
      </c>
    </row>
    <row r="547" spans="1:12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f>Table1[[#This Row],[Quantity]]*Table1[[#This Row],[Price per Unit]]</f>
        <v>200</v>
      </c>
      <c r="K547" t="str">
        <f t="shared" si="16"/>
        <v>35–44</v>
      </c>
      <c r="L547" t="str">
        <f t="shared" si="17"/>
        <v>2023-10</v>
      </c>
    </row>
    <row r="548" spans="1:12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f>Table1[[#This Row],[Quantity]]*Table1[[#This Row],[Price per Unit]]</f>
        <v>2000</v>
      </c>
      <c r="K548" t="str">
        <f t="shared" si="16"/>
        <v>55+</v>
      </c>
      <c r="L548" t="str">
        <f t="shared" si="17"/>
        <v>2023-03</v>
      </c>
    </row>
    <row r="549" spans="1:12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f>Table1[[#This Row],[Quantity]]*Table1[[#This Row],[Price per Unit]]</f>
        <v>60</v>
      </c>
      <c r="K549" t="str">
        <f t="shared" si="16"/>
        <v>45–54</v>
      </c>
      <c r="L549" t="str">
        <f t="shared" si="17"/>
        <v>2023-04</v>
      </c>
    </row>
    <row r="550" spans="1:12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f>Table1[[#This Row],[Quantity]]*Table1[[#This Row],[Price per Unit]]</f>
        <v>100</v>
      </c>
      <c r="K550" t="str">
        <f t="shared" si="16"/>
        <v>45–54</v>
      </c>
      <c r="L550" t="str">
        <f t="shared" si="17"/>
        <v>2023-08</v>
      </c>
    </row>
    <row r="551" spans="1:12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f>Table1[[#This Row],[Quantity]]*Table1[[#This Row],[Price per Unit]]</f>
        <v>900</v>
      </c>
      <c r="K551" t="str">
        <f t="shared" si="16"/>
        <v>35–44</v>
      </c>
      <c r="L551" t="str">
        <f t="shared" si="17"/>
        <v>2023-12</v>
      </c>
    </row>
    <row r="552" spans="1:12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f>Table1[[#This Row],[Quantity]]*Table1[[#This Row],[Price per Unit]]</f>
        <v>900</v>
      </c>
      <c r="K552" t="str">
        <f t="shared" si="16"/>
        <v>45–54</v>
      </c>
      <c r="L552" t="str">
        <f t="shared" si="17"/>
        <v>2023-07</v>
      </c>
    </row>
    <row r="553" spans="1:12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f>Table1[[#This Row],[Quantity]]*Table1[[#This Row],[Price per Unit]]</f>
        <v>75</v>
      </c>
      <c r="K553" t="str">
        <f t="shared" si="16"/>
        <v>45–54</v>
      </c>
      <c r="L553" t="str">
        <f t="shared" si="17"/>
        <v>2023-12</v>
      </c>
    </row>
    <row r="554" spans="1:12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f>Table1[[#This Row],[Quantity]]*Table1[[#This Row],[Price per Unit]]</f>
        <v>1200</v>
      </c>
      <c r="K554" t="str">
        <f t="shared" si="16"/>
        <v>Under 25</v>
      </c>
      <c r="L554" t="str">
        <f t="shared" si="17"/>
        <v>2023-03</v>
      </c>
    </row>
    <row r="555" spans="1:12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f>Table1[[#This Row],[Quantity]]*Table1[[#This Row],[Price per Unit]]</f>
        <v>150</v>
      </c>
      <c r="K555" t="str">
        <f t="shared" si="16"/>
        <v>45–54</v>
      </c>
      <c r="L555" t="str">
        <f t="shared" si="17"/>
        <v>2023-11</v>
      </c>
    </row>
    <row r="556" spans="1:12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f>Table1[[#This Row],[Quantity]]*Table1[[#This Row],[Price per Unit]]</f>
        <v>300</v>
      </c>
      <c r="K556" t="str">
        <f t="shared" si="16"/>
        <v>25–34</v>
      </c>
      <c r="L556" t="str">
        <f t="shared" si="17"/>
        <v>2023-10</v>
      </c>
    </row>
    <row r="557" spans="1:12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f>Table1[[#This Row],[Quantity]]*Table1[[#This Row],[Price per Unit]]</f>
        <v>50</v>
      </c>
      <c r="K557" t="str">
        <f t="shared" si="16"/>
        <v>Under 25</v>
      </c>
      <c r="L557" t="str">
        <f t="shared" si="17"/>
        <v>2023-06</v>
      </c>
    </row>
    <row r="558" spans="1:12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f>Table1[[#This Row],[Quantity]]*Table1[[#This Row],[Price per Unit]]</f>
        <v>90</v>
      </c>
      <c r="K558" t="str">
        <f t="shared" si="16"/>
        <v>Under 25</v>
      </c>
      <c r="L558" t="str">
        <f t="shared" si="17"/>
        <v>2023-07</v>
      </c>
    </row>
    <row r="559" spans="1:12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f>Table1[[#This Row],[Quantity]]*Table1[[#This Row],[Price per Unit]]</f>
        <v>25</v>
      </c>
      <c r="K559" t="str">
        <f t="shared" si="16"/>
        <v>35–44</v>
      </c>
      <c r="L559" t="str">
        <f t="shared" si="17"/>
        <v>2023-10</v>
      </c>
    </row>
    <row r="560" spans="1:12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f>Table1[[#This Row],[Quantity]]*Table1[[#This Row],[Price per Unit]]</f>
        <v>1200</v>
      </c>
      <c r="K560" t="str">
        <f t="shared" si="16"/>
        <v>35–44</v>
      </c>
      <c r="L560" t="str">
        <f t="shared" si="17"/>
        <v>2023-01</v>
      </c>
    </row>
    <row r="561" spans="1:12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f>Table1[[#This Row],[Quantity]]*Table1[[#This Row],[Price per Unit]]</f>
        <v>50</v>
      </c>
      <c r="K561" t="str">
        <f t="shared" si="16"/>
        <v>25–34</v>
      </c>
      <c r="L561" t="str">
        <f t="shared" si="17"/>
        <v>2023-06</v>
      </c>
    </row>
    <row r="562" spans="1:12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f>Table1[[#This Row],[Quantity]]*Table1[[#This Row],[Price per Unit]]</f>
        <v>2000</v>
      </c>
      <c r="K562" t="str">
        <f t="shared" si="16"/>
        <v>55+</v>
      </c>
      <c r="L562" t="str">
        <f t="shared" si="17"/>
        <v>2023-05</v>
      </c>
    </row>
    <row r="563" spans="1:12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f>Table1[[#This Row],[Quantity]]*Table1[[#This Row],[Price per Unit]]</f>
        <v>50</v>
      </c>
      <c r="K563" t="str">
        <f t="shared" si="16"/>
        <v>45–54</v>
      </c>
      <c r="L563" t="str">
        <f t="shared" si="17"/>
        <v>2023-04</v>
      </c>
    </row>
    <row r="564" spans="1:12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f>Table1[[#This Row],[Quantity]]*Table1[[#This Row],[Price per Unit]]</f>
        <v>60</v>
      </c>
      <c r="K564" t="str">
        <f t="shared" si="16"/>
        <v>Under 25</v>
      </c>
      <c r="L564" t="str">
        <f t="shared" si="17"/>
        <v>2023-08</v>
      </c>
    </row>
    <row r="565" spans="1:12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f>Table1[[#This Row],[Quantity]]*Table1[[#This Row],[Price per Unit]]</f>
        <v>100</v>
      </c>
      <c r="K565" t="str">
        <f t="shared" si="16"/>
        <v>45–54</v>
      </c>
      <c r="L565" t="str">
        <f t="shared" si="17"/>
        <v>2023-10</v>
      </c>
    </row>
    <row r="566" spans="1:12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f>Table1[[#This Row],[Quantity]]*Table1[[#This Row],[Price per Unit]]</f>
        <v>60</v>
      </c>
      <c r="K566" t="str">
        <f t="shared" si="16"/>
        <v>45–54</v>
      </c>
      <c r="L566" t="str">
        <f t="shared" si="17"/>
        <v>2023-11</v>
      </c>
    </row>
    <row r="567" spans="1:12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f>Table1[[#This Row],[Quantity]]*Table1[[#This Row],[Price per Unit]]</f>
        <v>30</v>
      </c>
      <c r="K567" t="str">
        <f t="shared" si="16"/>
        <v>55+</v>
      </c>
      <c r="L567" t="str">
        <f t="shared" si="17"/>
        <v>2023-12</v>
      </c>
    </row>
    <row r="568" spans="1:12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f>Table1[[#This Row],[Quantity]]*Table1[[#This Row],[Price per Unit]]</f>
        <v>900</v>
      </c>
      <c r="K568" t="str">
        <f t="shared" si="16"/>
        <v>25–34</v>
      </c>
      <c r="L568" t="str">
        <f t="shared" si="17"/>
        <v>2023-06</v>
      </c>
    </row>
    <row r="569" spans="1:12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f>Table1[[#This Row],[Quantity]]*Table1[[#This Row],[Price per Unit]]</f>
        <v>300</v>
      </c>
      <c r="K569" t="str">
        <f t="shared" si="16"/>
        <v>45–54</v>
      </c>
      <c r="L569" t="str">
        <f t="shared" si="17"/>
        <v>2023-08</v>
      </c>
    </row>
    <row r="570" spans="1:12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f>Table1[[#This Row],[Quantity]]*Table1[[#This Row],[Price per Unit]]</f>
        <v>200</v>
      </c>
      <c r="K570" t="str">
        <f t="shared" si="16"/>
        <v>45–54</v>
      </c>
      <c r="L570" t="str">
        <f t="shared" si="17"/>
        <v>2023-08</v>
      </c>
    </row>
    <row r="571" spans="1:12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f>Table1[[#This Row],[Quantity]]*Table1[[#This Row],[Price per Unit]]</f>
        <v>500</v>
      </c>
      <c r="K571" t="str">
        <f t="shared" si="16"/>
        <v>45–54</v>
      </c>
      <c r="L571" t="str">
        <f t="shared" si="17"/>
        <v>2023-08</v>
      </c>
    </row>
    <row r="572" spans="1:12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f>Table1[[#This Row],[Quantity]]*Table1[[#This Row],[Price per Unit]]</f>
        <v>50</v>
      </c>
      <c r="K572" t="str">
        <f t="shared" si="16"/>
        <v>35–44</v>
      </c>
      <c r="L572" t="str">
        <f t="shared" si="17"/>
        <v>2023-12</v>
      </c>
    </row>
    <row r="573" spans="1:12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f>Table1[[#This Row],[Quantity]]*Table1[[#This Row],[Price per Unit]]</f>
        <v>2000</v>
      </c>
      <c r="K573" t="str">
        <f t="shared" si="16"/>
        <v>25–34</v>
      </c>
      <c r="L573" t="str">
        <f t="shared" si="17"/>
        <v>2023-04</v>
      </c>
    </row>
    <row r="574" spans="1:12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f>Table1[[#This Row],[Quantity]]*Table1[[#This Row],[Price per Unit]]</f>
        <v>60</v>
      </c>
      <c r="K574" t="str">
        <f t="shared" si="16"/>
        <v>45–54</v>
      </c>
      <c r="L574" t="str">
        <f t="shared" si="17"/>
        <v>2023-09</v>
      </c>
    </row>
    <row r="575" spans="1:12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f>Table1[[#This Row],[Quantity]]*Table1[[#This Row],[Price per Unit]]</f>
        <v>50</v>
      </c>
      <c r="K575" t="str">
        <f t="shared" si="16"/>
        <v>55+</v>
      </c>
      <c r="L575" t="str">
        <f t="shared" si="17"/>
        <v>2023-08</v>
      </c>
    </row>
    <row r="576" spans="1:12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f>Table1[[#This Row],[Quantity]]*Table1[[#This Row],[Price per Unit]]</f>
        <v>100</v>
      </c>
      <c r="K576" t="str">
        <f t="shared" si="16"/>
        <v>55+</v>
      </c>
      <c r="L576" t="str">
        <f t="shared" si="17"/>
        <v>2023-03</v>
      </c>
    </row>
    <row r="577" spans="1:12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f>Table1[[#This Row],[Quantity]]*Table1[[#This Row],[Price per Unit]]</f>
        <v>150</v>
      </c>
      <c r="K577" t="str">
        <f t="shared" si="16"/>
        <v>25–34</v>
      </c>
      <c r="L577" t="str">
        <f t="shared" si="17"/>
        <v>2023-12</v>
      </c>
    </row>
    <row r="578" spans="1:12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f>Table1[[#This Row],[Quantity]]*Table1[[#This Row],[Price per Unit]]</f>
        <v>2000</v>
      </c>
      <c r="K578" t="str">
        <f t="shared" ref="K578:K641" si="18">IF(E578&lt;25,"Under 25",
IF(E578&lt;35,"25–34",
IF(E578&lt;45,"35–44",
IF(E578&lt;55,"45–54","55+"))))</f>
        <v>Under 25</v>
      </c>
      <c r="L578" t="str">
        <f t="shared" ref="L578:L641" si="19">TEXT(B578,"yyyy-mm")</f>
        <v>2023-02</v>
      </c>
    </row>
    <row r="579" spans="1:12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f>Table1[[#This Row],[Quantity]]*Table1[[#This Row],[Price per Unit]]</f>
        <v>120</v>
      </c>
      <c r="K579" t="str">
        <f t="shared" si="18"/>
        <v>45–54</v>
      </c>
      <c r="L579" t="str">
        <f t="shared" si="19"/>
        <v>2023-05</v>
      </c>
    </row>
    <row r="580" spans="1:12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f>Table1[[#This Row],[Quantity]]*Table1[[#This Row],[Price per Unit]]</f>
        <v>30</v>
      </c>
      <c r="K580" t="str">
        <f t="shared" si="18"/>
        <v>35–44</v>
      </c>
      <c r="L580" t="str">
        <f t="shared" si="19"/>
        <v>2023-09</v>
      </c>
    </row>
    <row r="581" spans="1:12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f>Table1[[#This Row],[Quantity]]*Table1[[#This Row],[Price per Unit]]</f>
        <v>1500</v>
      </c>
      <c r="K581" t="str">
        <f t="shared" si="18"/>
        <v>25–34</v>
      </c>
      <c r="L581" t="str">
        <f t="shared" si="19"/>
        <v>2023-12</v>
      </c>
    </row>
    <row r="582" spans="1:12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f>Table1[[#This Row],[Quantity]]*Table1[[#This Row],[Price per Unit]]</f>
        <v>60</v>
      </c>
      <c r="K582" t="str">
        <f t="shared" si="18"/>
        <v>45–54</v>
      </c>
      <c r="L582" t="str">
        <f t="shared" si="19"/>
        <v>2023-11</v>
      </c>
    </row>
    <row r="583" spans="1:12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f>Table1[[#This Row],[Quantity]]*Table1[[#This Row],[Price per Unit]]</f>
        <v>900</v>
      </c>
      <c r="K583" t="str">
        <f t="shared" si="18"/>
        <v>35–44</v>
      </c>
      <c r="L583" t="str">
        <f t="shared" si="19"/>
        <v>2023-11</v>
      </c>
    </row>
    <row r="584" spans="1:12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f>Table1[[#This Row],[Quantity]]*Table1[[#This Row],[Price per Unit]]</f>
        <v>100</v>
      </c>
      <c r="K584" t="str">
        <f t="shared" si="18"/>
        <v>Under 25</v>
      </c>
      <c r="L584" t="str">
        <f t="shared" si="19"/>
        <v>2023-06</v>
      </c>
    </row>
    <row r="585" spans="1:12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f>Table1[[#This Row],[Quantity]]*Table1[[#This Row],[Price per Unit]]</f>
        <v>200</v>
      </c>
      <c r="K585" t="str">
        <f t="shared" si="18"/>
        <v>25–34</v>
      </c>
      <c r="L585" t="str">
        <f t="shared" si="19"/>
        <v>2023-02</v>
      </c>
    </row>
    <row r="586" spans="1:12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f>Table1[[#This Row],[Quantity]]*Table1[[#This Row],[Price per Unit]]</f>
        <v>25</v>
      </c>
      <c r="K586" t="str">
        <f t="shared" si="18"/>
        <v>Under 25</v>
      </c>
      <c r="L586" t="str">
        <f t="shared" si="19"/>
        <v>2023-05</v>
      </c>
    </row>
    <row r="587" spans="1:12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f>Table1[[#This Row],[Quantity]]*Table1[[#This Row],[Price per Unit]]</f>
        <v>50</v>
      </c>
      <c r="K587" t="str">
        <f t="shared" si="18"/>
        <v>45–54</v>
      </c>
      <c r="L587" t="str">
        <f t="shared" si="19"/>
        <v>2023-12</v>
      </c>
    </row>
    <row r="588" spans="1:12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f>Table1[[#This Row],[Quantity]]*Table1[[#This Row],[Price per Unit]]</f>
        <v>1200</v>
      </c>
      <c r="K588" t="str">
        <f t="shared" si="18"/>
        <v>35–44</v>
      </c>
      <c r="L588" t="str">
        <f t="shared" si="19"/>
        <v>2023-06</v>
      </c>
    </row>
    <row r="589" spans="1:12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f>Table1[[#This Row],[Quantity]]*Table1[[#This Row],[Price per Unit]]</f>
        <v>60</v>
      </c>
      <c r="K589" t="str">
        <f t="shared" si="18"/>
        <v>35–44</v>
      </c>
      <c r="L589" t="str">
        <f t="shared" si="19"/>
        <v>2023-04</v>
      </c>
    </row>
    <row r="590" spans="1:12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f>Table1[[#This Row],[Quantity]]*Table1[[#This Row],[Price per Unit]]</f>
        <v>1000</v>
      </c>
      <c r="K590" t="str">
        <f t="shared" si="18"/>
        <v>35–44</v>
      </c>
      <c r="L590" t="str">
        <f t="shared" si="19"/>
        <v>2023-04</v>
      </c>
    </row>
    <row r="591" spans="1:12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f>Table1[[#This Row],[Quantity]]*Table1[[#This Row],[Price per Unit]]</f>
        <v>900</v>
      </c>
      <c r="K591" t="str">
        <f t="shared" si="18"/>
        <v>35–44</v>
      </c>
      <c r="L591" t="str">
        <f t="shared" si="19"/>
        <v>2023-03</v>
      </c>
    </row>
    <row r="592" spans="1:12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f>Table1[[#This Row],[Quantity]]*Table1[[#This Row],[Price per Unit]]</f>
        <v>100</v>
      </c>
      <c r="K592" t="str">
        <f t="shared" si="18"/>
        <v>45–54</v>
      </c>
      <c r="L592" t="str">
        <f t="shared" si="19"/>
        <v>2023-01</v>
      </c>
    </row>
    <row r="593" spans="1:12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f>Table1[[#This Row],[Quantity]]*Table1[[#This Row],[Price per Unit]]</f>
        <v>2000</v>
      </c>
      <c r="K593" t="str">
        <f t="shared" si="18"/>
        <v>45–54</v>
      </c>
      <c r="L593" t="str">
        <f t="shared" si="19"/>
        <v>2023-01</v>
      </c>
    </row>
    <row r="594" spans="1:12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f>Table1[[#This Row],[Quantity]]*Table1[[#This Row],[Price per Unit]]</f>
        <v>60</v>
      </c>
      <c r="K594" t="str">
        <f t="shared" si="18"/>
        <v>35–44</v>
      </c>
      <c r="L594" t="str">
        <f t="shared" si="19"/>
        <v>2023-05</v>
      </c>
    </row>
    <row r="595" spans="1:12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f>Table1[[#This Row],[Quantity]]*Table1[[#This Row],[Price per Unit]]</f>
        <v>600</v>
      </c>
      <c r="K595" t="str">
        <f t="shared" si="18"/>
        <v>Under 25</v>
      </c>
      <c r="L595" t="str">
        <f t="shared" si="19"/>
        <v>2023-09</v>
      </c>
    </row>
    <row r="596" spans="1:12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f>Table1[[#This Row],[Quantity]]*Table1[[#This Row],[Price per Unit]]</f>
        <v>2000</v>
      </c>
      <c r="K596" t="str">
        <f t="shared" si="18"/>
        <v>Under 25</v>
      </c>
      <c r="L596" t="str">
        <f t="shared" si="19"/>
        <v>2023-11</v>
      </c>
    </row>
    <row r="597" spans="1:12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f>Table1[[#This Row],[Quantity]]*Table1[[#This Row],[Price per Unit]]</f>
        <v>300</v>
      </c>
      <c r="K597" t="str">
        <f t="shared" si="18"/>
        <v>55+</v>
      </c>
      <c r="L597" t="str">
        <f t="shared" si="19"/>
        <v>2023-02</v>
      </c>
    </row>
    <row r="598" spans="1:12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f>Table1[[#This Row],[Quantity]]*Table1[[#This Row],[Price per Unit]]</f>
        <v>1200</v>
      </c>
      <c r="K598" t="str">
        <f t="shared" si="18"/>
        <v>Under 25</v>
      </c>
      <c r="L598" t="str">
        <f t="shared" si="19"/>
        <v>2023-08</v>
      </c>
    </row>
    <row r="599" spans="1:12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f>Table1[[#This Row],[Quantity]]*Table1[[#This Row],[Price per Unit]]</f>
        <v>120</v>
      </c>
      <c r="K599" t="str">
        <f t="shared" si="18"/>
        <v>35–44</v>
      </c>
      <c r="L599" t="str">
        <f t="shared" si="19"/>
        <v>2023-08</v>
      </c>
    </row>
    <row r="600" spans="1:12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f>Table1[[#This Row],[Quantity]]*Table1[[#This Row],[Price per Unit]]</f>
        <v>100</v>
      </c>
      <c r="K600" t="str">
        <f t="shared" si="18"/>
        <v>25–34</v>
      </c>
      <c r="L600" t="str">
        <f t="shared" si="19"/>
        <v>2023-11</v>
      </c>
    </row>
    <row r="601" spans="1:12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f>Table1[[#This Row],[Quantity]]*Table1[[#This Row],[Price per Unit]]</f>
        <v>1000</v>
      </c>
      <c r="K601" t="str">
        <f t="shared" si="18"/>
        <v>55+</v>
      </c>
      <c r="L601" t="str">
        <f t="shared" si="19"/>
        <v>2023-10</v>
      </c>
    </row>
    <row r="602" spans="1:12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f>Table1[[#This Row],[Quantity]]*Table1[[#This Row],[Price per Unit]]</f>
        <v>30</v>
      </c>
      <c r="K602" t="str">
        <f t="shared" si="18"/>
        <v>Under 25</v>
      </c>
      <c r="L602" t="str">
        <f t="shared" si="19"/>
        <v>2023-04</v>
      </c>
    </row>
    <row r="603" spans="1:12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f>Table1[[#This Row],[Quantity]]*Table1[[#This Row],[Price per Unit]]</f>
        <v>300</v>
      </c>
      <c r="K603" t="str">
        <f t="shared" si="18"/>
        <v>Under 25</v>
      </c>
      <c r="L603" t="str">
        <f t="shared" si="19"/>
        <v>2023-12</v>
      </c>
    </row>
    <row r="604" spans="1:12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f>Table1[[#This Row],[Quantity]]*Table1[[#This Row],[Price per Unit]]</f>
        <v>90</v>
      </c>
      <c r="K604" t="str">
        <f t="shared" si="18"/>
        <v>35–44</v>
      </c>
      <c r="L604" t="str">
        <f t="shared" si="19"/>
        <v>2023-07</v>
      </c>
    </row>
    <row r="605" spans="1:12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f>Table1[[#This Row],[Quantity]]*Table1[[#This Row],[Price per Unit]]</f>
        <v>200</v>
      </c>
      <c r="K605" t="str">
        <f t="shared" si="18"/>
        <v>25–34</v>
      </c>
      <c r="L605" t="str">
        <f t="shared" si="19"/>
        <v>2023-09</v>
      </c>
    </row>
    <row r="606" spans="1:12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f>Table1[[#This Row],[Quantity]]*Table1[[#This Row],[Price per Unit]]</f>
        <v>1000</v>
      </c>
      <c r="K606" t="str">
        <f t="shared" si="18"/>
        <v>35–44</v>
      </c>
      <c r="L606" t="str">
        <f t="shared" si="19"/>
        <v>2023-07</v>
      </c>
    </row>
    <row r="607" spans="1:12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f>Table1[[#This Row],[Quantity]]*Table1[[#This Row],[Price per Unit]]</f>
        <v>50</v>
      </c>
      <c r="K607" t="str">
        <f t="shared" si="18"/>
        <v>Under 25</v>
      </c>
      <c r="L607" t="str">
        <f t="shared" si="19"/>
        <v>2023-05</v>
      </c>
    </row>
    <row r="608" spans="1:12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f>Table1[[#This Row],[Quantity]]*Table1[[#This Row],[Price per Unit]]</f>
        <v>75</v>
      </c>
      <c r="K608" t="str">
        <f t="shared" si="18"/>
        <v>45–54</v>
      </c>
      <c r="L608" t="str">
        <f t="shared" si="19"/>
        <v>2023-03</v>
      </c>
    </row>
    <row r="609" spans="1:12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f>Table1[[#This Row],[Quantity]]*Table1[[#This Row],[Price per Unit]]</f>
        <v>1500</v>
      </c>
      <c r="K609" t="str">
        <f t="shared" si="18"/>
        <v>55+</v>
      </c>
      <c r="L609" t="str">
        <f t="shared" si="19"/>
        <v>2023-12</v>
      </c>
    </row>
    <row r="610" spans="1:12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f>Table1[[#This Row],[Quantity]]*Table1[[#This Row],[Price per Unit]]</f>
        <v>100</v>
      </c>
      <c r="K610" t="str">
        <f t="shared" si="18"/>
        <v>45–54</v>
      </c>
      <c r="L610" t="str">
        <f t="shared" si="19"/>
        <v>2023-12</v>
      </c>
    </row>
    <row r="611" spans="1:12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f>Table1[[#This Row],[Quantity]]*Table1[[#This Row],[Price per Unit]]</f>
        <v>600</v>
      </c>
      <c r="K611" t="str">
        <f t="shared" si="18"/>
        <v>25–34</v>
      </c>
      <c r="L611" t="str">
        <f t="shared" si="19"/>
        <v>2023-01</v>
      </c>
    </row>
    <row r="612" spans="1:12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f>Table1[[#This Row],[Quantity]]*Table1[[#This Row],[Price per Unit]]</f>
        <v>1500</v>
      </c>
      <c r="K612" t="str">
        <f t="shared" si="18"/>
        <v>45–54</v>
      </c>
      <c r="L612" t="str">
        <f t="shared" si="19"/>
        <v>2023-02</v>
      </c>
    </row>
    <row r="613" spans="1:12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f>Table1[[#This Row],[Quantity]]*Table1[[#This Row],[Price per Unit]]</f>
        <v>500</v>
      </c>
      <c r="K613" t="str">
        <f t="shared" si="18"/>
        <v>55+</v>
      </c>
      <c r="L613" t="str">
        <f t="shared" si="19"/>
        <v>2023-08</v>
      </c>
    </row>
    <row r="614" spans="1:12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f>Table1[[#This Row],[Quantity]]*Table1[[#This Row],[Price per Unit]]</f>
        <v>90</v>
      </c>
      <c r="K614" t="str">
        <f t="shared" si="18"/>
        <v>45–54</v>
      </c>
      <c r="L614" t="str">
        <f t="shared" si="19"/>
        <v>2023-04</v>
      </c>
    </row>
    <row r="615" spans="1:12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f>Table1[[#This Row],[Quantity]]*Table1[[#This Row],[Price per Unit]]</f>
        <v>1200</v>
      </c>
      <c r="K615" t="str">
        <f t="shared" si="18"/>
        <v>35–44</v>
      </c>
      <c r="L615" t="str">
        <f t="shared" si="19"/>
        <v>2023-04</v>
      </c>
    </row>
    <row r="616" spans="1:12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f>Table1[[#This Row],[Quantity]]*Table1[[#This Row],[Price per Unit]]</f>
        <v>100</v>
      </c>
      <c r="K616" t="str">
        <f t="shared" si="18"/>
        <v>55+</v>
      </c>
      <c r="L616" t="str">
        <f t="shared" si="19"/>
        <v>2023-12</v>
      </c>
    </row>
    <row r="617" spans="1:12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f>Table1[[#This Row],[Quantity]]*Table1[[#This Row],[Price per Unit]]</f>
        <v>100</v>
      </c>
      <c r="K617" t="str">
        <f t="shared" si="18"/>
        <v>35–44</v>
      </c>
      <c r="L617" t="str">
        <f t="shared" si="19"/>
        <v>2023-09</v>
      </c>
    </row>
    <row r="618" spans="1:12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f>Table1[[#This Row],[Quantity]]*Table1[[#This Row],[Price per Unit]]</f>
        <v>30</v>
      </c>
      <c r="K618" t="str">
        <f t="shared" si="18"/>
        <v>25–34</v>
      </c>
      <c r="L618" t="str">
        <f t="shared" si="19"/>
        <v>2023-08</v>
      </c>
    </row>
    <row r="619" spans="1:12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f>Table1[[#This Row],[Quantity]]*Table1[[#This Row],[Price per Unit]]</f>
        <v>50</v>
      </c>
      <c r="K619" t="str">
        <f t="shared" si="18"/>
        <v>25–34</v>
      </c>
      <c r="L619" t="str">
        <f t="shared" si="19"/>
        <v>2023-01</v>
      </c>
    </row>
    <row r="620" spans="1:12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f>Table1[[#This Row],[Quantity]]*Table1[[#This Row],[Price per Unit]]</f>
        <v>100</v>
      </c>
      <c r="K620" t="str">
        <f t="shared" si="18"/>
        <v>45–54</v>
      </c>
      <c r="L620" t="str">
        <f t="shared" si="19"/>
        <v>2023-10</v>
      </c>
    </row>
    <row r="621" spans="1:12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f>Table1[[#This Row],[Quantity]]*Table1[[#This Row],[Price per Unit]]</f>
        <v>75</v>
      </c>
      <c r="K621" t="str">
        <f t="shared" si="18"/>
        <v>55+</v>
      </c>
      <c r="L621" t="str">
        <f t="shared" si="19"/>
        <v>2023-05</v>
      </c>
    </row>
    <row r="622" spans="1:12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f>Table1[[#This Row],[Quantity]]*Table1[[#This Row],[Price per Unit]]</f>
        <v>1000</v>
      </c>
      <c r="K622" t="str">
        <f t="shared" si="18"/>
        <v>35–44</v>
      </c>
      <c r="L622" t="str">
        <f t="shared" si="19"/>
        <v>2023-03</v>
      </c>
    </row>
    <row r="623" spans="1:12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f>Table1[[#This Row],[Quantity]]*Table1[[#This Row],[Price per Unit]]</f>
        <v>75</v>
      </c>
      <c r="K623" t="str">
        <f t="shared" si="18"/>
        <v>45–54</v>
      </c>
      <c r="L623" t="str">
        <f t="shared" si="19"/>
        <v>2023-08</v>
      </c>
    </row>
    <row r="624" spans="1:12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f>Table1[[#This Row],[Quantity]]*Table1[[#This Row],[Price per Unit]]</f>
        <v>150</v>
      </c>
      <c r="K624" t="str">
        <f t="shared" si="18"/>
        <v>25–34</v>
      </c>
      <c r="L624" t="str">
        <f t="shared" si="19"/>
        <v>2023-03</v>
      </c>
    </row>
    <row r="625" spans="1:12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f>Table1[[#This Row],[Quantity]]*Table1[[#This Row],[Price per Unit]]</f>
        <v>900</v>
      </c>
      <c r="K625" t="str">
        <f t="shared" si="18"/>
        <v>25–34</v>
      </c>
      <c r="L625" t="str">
        <f t="shared" si="19"/>
        <v>2023-08</v>
      </c>
    </row>
    <row r="626" spans="1:12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f>Table1[[#This Row],[Quantity]]*Table1[[#This Row],[Price per Unit]]</f>
        <v>300</v>
      </c>
      <c r="K626" t="str">
        <f t="shared" si="18"/>
        <v>25–34</v>
      </c>
      <c r="L626" t="str">
        <f t="shared" si="19"/>
        <v>2023-12</v>
      </c>
    </row>
    <row r="627" spans="1:12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f>Table1[[#This Row],[Quantity]]*Table1[[#This Row],[Price per Unit]]</f>
        <v>2000</v>
      </c>
      <c r="K627" t="str">
        <f t="shared" si="18"/>
        <v>25–34</v>
      </c>
      <c r="L627" t="str">
        <f t="shared" si="19"/>
        <v>2023-09</v>
      </c>
    </row>
    <row r="628" spans="1:12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f>Table1[[#This Row],[Quantity]]*Table1[[#This Row],[Price per Unit]]</f>
        <v>50</v>
      </c>
      <c r="K628" t="str">
        <f t="shared" si="18"/>
        <v>55+</v>
      </c>
      <c r="L628" t="str">
        <f t="shared" si="19"/>
        <v>2023-10</v>
      </c>
    </row>
    <row r="629" spans="1:12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f>Table1[[#This Row],[Quantity]]*Table1[[#This Row],[Price per Unit]]</f>
        <v>200</v>
      </c>
      <c r="K629" t="str">
        <f t="shared" si="18"/>
        <v>Under 25</v>
      </c>
      <c r="L629" t="str">
        <f t="shared" si="19"/>
        <v>2023-11</v>
      </c>
    </row>
    <row r="630" spans="1:12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f>Table1[[#This Row],[Quantity]]*Table1[[#This Row],[Price per Unit]]</f>
        <v>50</v>
      </c>
      <c r="K630" t="str">
        <f t="shared" si="18"/>
        <v>55+</v>
      </c>
      <c r="L630" t="str">
        <f t="shared" si="19"/>
        <v>2023-06</v>
      </c>
    </row>
    <row r="631" spans="1:12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f>Table1[[#This Row],[Quantity]]*Table1[[#This Row],[Price per Unit]]</f>
        <v>100</v>
      </c>
      <c r="K631" t="str">
        <f t="shared" si="18"/>
        <v>35–44</v>
      </c>
      <c r="L631" t="str">
        <f t="shared" si="19"/>
        <v>2023-08</v>
      </c>
    </row>
    <row r="632" spans="1:12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f>Table1[[#This Row],[Quantity]]*Table1[[#This Row],[Price per Unit]]</f>
        <v>90</v>
      </c>
      <c r="K632" t="str">
        <f t="shared" si="18"/>
        <v>55+</v>
      </c>
      <c r="L632" t="str">
        <f t="shared" si="19"/>
        <v>2023-11</v>
      </c>
    </row>
    <row r="633" spans="1:12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f>Table1[[#This Row],[Quantity]]*Table1[[#This Row],[Price per Unit]]</f>
        <v>100</v>
      </c>
      <c r="K633" t="str">
        <f t="shared" si="18"/>
        <v>25–34</v>
      </c>
      <c r="L633" t="str">
        <f t="shared" si="19"/>
        <v>2023-09</v>
      </c>
    </row>
    <row r="634" spans="1:12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f>Table1[[#This Row],[Quantity]]*Table1[[#This Row],[Price per Unit]]</f>
        <v>120</v>
      </c>
      <c r="K634" t="str">
        <f t="shared" si="18"/>
        <v>35–44</v>
      </c>
      <c r="L634" t="str">
        <f t="shared" si="19"/>
        <v>2023-08</v>
      </c>
    </row>
    <row r="635" spans="1:12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f>Table1[[#This Row],[Quantity]]*Table1[[#This Row],[Price per Unit]]</f>
        <v>2000</v>
      </c>
      <c r="K635" t="str">
        <f t="shared" si="18"/>
        <v>55+</v>
      </c>
      <c r="L635" t="str">
        <f t="shared" si="19"/>
        <v>2023-10</v>
      </c>
    </row>
    <row r="636" spans="1:12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f>Table1[[#This Row],[Quantity]]*Table1[[#This Row],[Price per Unit]]</f>
        <v>900</v>
      </c>
      <c r="K636" t="str">
        <f t="shared" si="18"/>
        <v>55+</v>
      </c>
      <c r="L636" t="str">
        <f t="shared" si="19"/>
        <v>2023-08</v>
      </c>
    </row>
    <row r="637" spans="1:12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f>Table1[[#This Row],[Quantity]]*Table1[[#This Row],[Price per Unit]]</f>
        <v>1500</v>
      </c>
      <c r="K637" t="str">
        <f t="shared" si="18"/>
        <v>Under 25</v>
      </c>
      <c r="L637" t="str">
        <f t="shared" si="19"/>
        <v>2023-03</v>
      </c>
    </row>
    <row r="638" spans="1:12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f>Table1[[#This Row],[Quantity]]*Table1[[#This Row],[Price per Unit]]</f>
        <v>600</v>
      </c>
      <c r="K638" t="str">
        <f t="shared" si="18"/>
        <v>35–44</v>
      </c>
      <c r="L638" t="str">
        <f t="shared" si="19"/>
        <v>2023-09</v>
      </c>
    </row>
    <row r="639" spans="1:12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f>Table1[[#This Row],[Quantity]]*Table1[[#This Row],[Price per Unit]]</f>
        <v>500</v>
      </c>
      <c r="K639" t="str">
        <f t="shared" si="18"/>
        <v>45–54</v>
      </c>
      <c r="L639" t="str">
        <f t="shared" si="19"/>
        <v>2023-08</v>
      </c>
    </row>
    <row r="640" spans="1:12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f>Table1[[#This Row],[Quantity]]*Table1[[#This Row],[Price per Unit]]</f>
        <v>200</v>
      </c>
      <c r="K640" t="str">
        <f t="shared" si="18"/>
        <v>55+</v>
      </c>
      <c r="L640" t="str">
        <f t="shared" si="19"/>
        <v>2023-05</v>
      </c>
    </row>
    <row r="641" spans="1:12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f>Table1[[#This Row],[Quantity]]*Table1[[#This Row],[Price per Unit]]</f>
        <v>120</v>
      </c>
      <c r="K641" t="str">
        <f t="shared" si="18"/>
        <v>45–54</v>
      </c>
      <c r="L641" t="str">
        <f t="shared" si="19"/>
        <v>2023-05</v>
      </c>
    </row>
    <row r="642" spans="1:12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f>Table1[[#This Row],[Quantity]]*Table1[[#This Row],[Price per Unit]]</f>
        <v>300</v>
      </c>
      <c r="K642" t="str">
        <f t="shared" ref="K642:K705" si="20">IF(E642&lt;25,"Under 25",
IF(E642&lt;35,"25–34",
IF(E642&lt;45,"35–44",
IF(E642&lt;55,"45–54","55+"))))</f>
        <v>35–44</v>
      </c>
      <c r="L642" t="str">
        <f t="shared" ref="L642:L705" si="21">TEXT(B642,"yyyy-mm")</f>
        <v>2023-11</v>
      </c>
    </row>
    <row r="643" spans="1:12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f>Table1[[#This Row],[Quantity]]*Table1[[#This Row],[Price per Unit]]</f>
        <v>100</v>
      </c>
      <c r="K643" t="str">
        <f t="shared" si="20"/>
        <v>45–54</v>
      </c>
      <c r="L643" t="str">
        <f t="shared" si="21"/>
        <v>2023-05</v>
      </c>
    </row>
    <row r="644" spans="1:12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f>Table1[[#This Row],[Quantity]]*Table1[[#This Row],[Price per Unit]]</f>
        <v>90</v>
      </c>
      <c r="K644" t="str">
        <f t="shared" si="20"/>
        <v>25–34</v>
      </c>
      <c r="L644" t="str">
        <f t="shared" si="21"/>
        <v>2023-09</v>
      </c>
    </row>
    <row r="645" spans="1:12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f>Table1[[#This Row],[Quantity]]*Table1[[#This Row],[Price per Unit]]</f>
        <v>75</v>
      </c>
      <c r="K645" t="str">
        <f t="shared" si="20"/>
        <v>Under 25</v>
      </c>
      <c r="L645" t="str">
        <f t="shared" si="21"/>
        <v>2023-09</v>
      </c>
    </row>
    <row r="646" spans="1:12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f>Table1[[#This Row],[Quantity]]*Table1[[#This Row],[Price per Unit]]</f>
        <v>120</v>
      </c>
      <c r="K646" t="str">
        <f t="shared" si="20"/>
        <v>35–44</v>
      </c>
      <c r="L646" t="str">
        <f t="shared" si="21"/>
        <v>2023-11</v>
      </c>
    </row>
    <row r="647" spans="1:12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f>Table1[[#This Row],[Quantity]]*Table1[[#This Row],[Price per Unit]]</f>
        <v>90</v>
      </c>
      <c r="K647" t="str">
        <f t="shared" si="20"/>
        <v>35–44</v>
      </c>
      <c r="L647" t="str">
        <f t="shared" si="21"/>
        <v>2023-05</v>
      </c>
    </row>
    <row r="648" spans="1:12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f>Table1[[#This Row],[Quantity]]*Table1[[#This Row],[Price per Unit]]</f>
        <v>1500</v>
      </c>
      <c r="K648" t="str">
        <f t="shared" si="20"/>
        <v>55+</v>
      </c>
      <c r="L648" t="str">
        <f t="shared" si="21"/>
        <v>2023-05</v>
      </c>
    </row>
    <row r="649" spans="1:12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f>Table1[[#This Row],[Quantity]]*Table1[[#This Row],[Price per Unit]]</f>
        <v>1200</v>
      </c>
      <c r="K649" t="str">
        <f t="shared" si="20"/>
        <v>45–54</v>
      </c>
      <c r="L649" t="str">
        <f t="shared" si="21"/>
        <v>2023-08</v>
      </c>
    </row>
    <row r="650" spans="1:12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f>Table1[[#This Row],[Quantity]]*Table1[[#This Row],[Price per Unit]]</f>
        <v>600</v>
      </c>
      <c r="K650" t="str">
        <f t="shared" si="20"/>
        <v>55+</v>
      </c>
      <c r="L650" t="str">
        <f t="shared" si="21"/>
        <v>2023-02</v>
      </c>
    </row>
    <row r="651" spans="1:12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f>Table1[[#This Row],[Quantity]]*Table1[[#This Row],[Price per Unit]]</f>
        <v>30</v>
      </c>
      <c r="K651" t="str">
        <f t="shared" si="20"/>
        <v>55+</v>
      </c>
      <c r="L651" t="str">
        <f t="shared" si="21"/>
        <v>2024-01</v>
      </c>
    </row>
    <row r="652" spans="1:12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f>Table1[[#This Row],[Quantity]]*Table1[[#This Row],[Price per Unit]]</f>
        <v>150</v>
      </c>
      <c r="K652" t="str">
        <f t="shared" si="20"/>
        <v>45–54</v>
      </c>
      <c r="L652" t="str">
        <f t="shared" si="21"/>
        <v>2023-05</v>
      </c>
    </row>
    <row r="653" spans="1:12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f>Table1[[#This Row],[Quantity]]*Table1[[#This Row],[Price per Unit]]</f>
        <v>100</v>
      </c>
      <c r="K653" t="str">
        <f t="shared" si="20"/>
        <v>25–34</v>
      </c>
      <c r="L653" t="str">
        <f t="shared" si="21"/>
        <v>2023-05</v>
      </c>
    </row>
    <row r="654" spans="1:12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f>Table1[[#This Row],[Quantity]]*Table1[[#This Row],[Price per Unit]]</f>
        <v>75</v>
      </c>
      <c r="K654" t="str">
        <f t="shared" si="20"/>
        <v>45–54</v>
      </c>
      <c r="L654" t="str">
        <f t="shared" si="21"/>
        <v>2023-05</v>
      </c>
    </row>
    <row r="655" spans="1:12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f>Table1[[#This Row],[Quantity]]*Table1[[#This Row],[Price per Unit]]</f>
        <v>75</v>
      </c>
      <c r="K655" t="str">
        <f t="shared" si="20"/>
        <v>35–44</v>
      </c>
      <c r="L655" t="str">
        <f t="shared" si="21"/>
        <v>2023-06</v>
      </c>
    </row>
    <row r="656" spans="1:12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f>Table1[[#This Row],[Quantity]]*Table1[[#This Row],[Price per Unit]]</f>
        <v>500</v>
      </c>
      <c r="K656" t="str">
        <f t="shared" si="20"/>
        <v>55+</v>
      </c>
      <c r="L656" t="str">
        <f t="shared" si="21"/>
        <v>2023-06</v>
      </c>
    </row>
    <row r="657" spans="1:12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f>Table1[[#This Row],[Quantity]]*Table1[[#This Row],[Price per Unit]]</f>
        <v>90</v>
      </c>
      <c r="K657" t="str">
        <f t="shared" si="20"/>
        <v>25–34</v>
      </c>
      <c r="L657" t="str">
        <f t="shared" si="21"/>
        <v>2023-10</v>
      </c>
    </row>
    <row r="658" spans="1:12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f>Table1[[#This Row],[Quantity]]*Table1[[#This Row],[Price per Unit]]</f>
        <v>25</v>
      </c>
      <c r="K658" t="str">
        <f t="shared" si="20"/>
        <v>35–44</v>
      </c>
      <c r="L658" t="str">
        <f t="shared" si="21"/>
        <v>2023-02</v>
      </c>
    </row>
    <row r="659" spans="1:12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f>Table1[[#This Row],[Quantity]]*Table1[[#This Row],[Price per Unit]]</f>
        <v>25</v>
      </c>
      <c r="K659" t="str">
        <f t="shared" si="20"/>
        <v>55+</v>
      </c>
      <c r="L659" t="str">
        <f t="shared" si="21"/>
        <v>2023-03</v>
      </c>
    </row>
    <row r="660" spans="1:12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f>Table1[[#This Row],[Quantity]]*Table1[[#This Row],[Price per Unit]]</f>
        <v>30</v>
      </c>
      <c r="K660" t="str">
        <f t="shared" si="20"/>
        <v>35–44</v>
      </c>
      <c r="L660" t="str">
        <f t="shared" si="21"/>
        <v>2023-03</v>
      </c>
    </row>
    <row r="661" spans="1:12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f>Table1[[#This Row],[Quantity]]*Table1[[#This Row],[Price per Unit]]</f>
        <v>1000</v>
      </c>
      <c r="K661" t="str">
        <f t="shared" si="20"/>
        <v>35–44</v>
      </c>
      <c r="L661" t="str">
        <f t="shared" si="21"/>
        <v>2023-04</v>
      </c>
    </row>
    <row r="662" spans="1:12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f>Table1[[#This Row],[Quantity]]*Table1[[#This Row],[Price per Unit]]</f>
        <v>100</v>
      </c>
      <c r="K662" t="str">
        <f t="shared" si="20"/>
        <v>35–44</v>
      </c>
      <c r="L662" t="str">
        <f t="shared" si="21"/>
        <v>2023-07</v>
      </c>
    </row>
    <row r="663" spans="1:12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f>Table1[[#This Row],[Quantity]]*Table1[[#This Row],[Price per Unit]]</f>
        <v>1000</v>
      </c>
      <c r="K663" t="str">
        <f t="shared" si="20"/>
        <v>45–54</v>
      </c>
      <c r="L663" t="str">
        <f t="shared" si="21"/>
        <v>2023-12</v>
      </c>
    </row>
    <row r="664" spans="1:12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f>Table1[[#This Row],[Quantity]]*Table1[[#This Row],[Price per Unit]]</f>
        <v>1200</v>
      </c>
      <c r="K664" t="str">
        <f t="shared" si="20"/>
        <v>Under 25</v>
      </c>
      <c r="L664" t="str">
        <f t="shared" si="21"/>
        <v>2023-03</v>
      </c>
    </row>
    <row r="665" spans="1:12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f>Table1[[#This Row],[Quantity]]*Table1[[#This Row],[Price per Unit]]</f>
        <v>2000</v>
      </c>
      <c r="K665" t="str">
        <f t="shared" si="20"/>
        <v>35–44</v>
      </c>
      <c r="L665" t="str">
        <f t="shared" si="21"/>
        <v>2023-12</v>
      </c>
    </row>
    <row r="666" spans="1:12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f>Table1[[#This Row],[Quantity]]*Table1[[#This Row],[Price per Unit]]</f>
        <v>50</v>
      </c>
      <c r="K666" t="str">
        <f t="shared" si="20"/>
        <v>55+</v>
      </c>
      <c r="L666" t="str">
        <f t="shared" si="21"/>
        <v>2023-04</v>
      </c>
    </row>
    <row r="667" spans="1:12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f>Table1[[#This Row],[Quantity]]*Table1[[#This Row],[Price per Unit]]</f>
        <v>150</v>
      </c>
      <c r="K667" t="str">
        <f t="shared" si="20"/>
        <v>45–54</v>
      </c>
      <c r="L667" t="str">
        <f t="shared" si="21"/>
        <v>2023-02</v>
      </c>
    </row>
    <row r="668" spans="1:12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f>Table1[[#This Row],[Quantity]]*Table1[[#This Row],[Price per Unit]]</f>
        <v>500</v>
      </c>
      <c r="K668" t="str">
        <f t="shared" si="20"/>
        <v>25–34</v>
      </c>
      <c r="L668" t="str">
        <f t="shared" si="21"/>
        <v>2023-08</v>
      </c>
    </row>
    <row r="669" spans="1:12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f>Table1[[#This Row],[Quantity]]*Table1[[#This Row],[Price per Unit]]</f>
        <v>150</v>
      </c>
      <c r="K669" t="str">
        <f t="shared" si="20"/>
        <v>55+</v>
      </c>
      <c r="L669" t="str">
        <f t="shared" si="21"/>
        <v>2023-07</v>
      </c>
    </row>
    <row r="670" spans="1:12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f>Table1[[#This Row],[Quantity]]*Table1[[#This Row],[Price per Unit]]</f>
        <v>1200</v>
      </c>
      <c r="K670" t="str">
        <f t="shared" si="20"/>
        <v>Under 25</v>
      </c>
      <c r="L670" t="str">
        <f t="shared" si="21"/>
        <v>2023-06</v>
      </c>
    </row>
    <row r="671" spans="1:12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f>Table1[[#This Row],[Quantity]]*Table1[[#This Row],[Price per Unit]]</f>
        <v>30</v>
      </c>
      <c r="K671" t="str">
        <f t="shared" si="20"/>
        <v>25–34</v>
      </c>
      <c r="L671" t="str">
        <f t="shared" si="21"/>
        <v>2023-10</v>
      </c>
    </row>
    <row r="672" spans="1:12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f>Table1[[#This Row],[Quantity]]*Table1[[#This Row],[Price per Unit]]</f>
        <v>150</v>
      </c>
      <c r="K672" t="str">
        <f t="shared" si="20"/>
        <v>55+</v>
      </c>
      <c r="L672" t="str">
        <f t="shared" si="21"/>
        <v>2023-08</v>
      </c>
    </row>
    <row r="673" spans="1:12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f>Table1[[#This Row],[Quantity]]*Table1[[#This Row],[Price per Unit]]</f>
        <v>100</v>
      </c>
      <c r="K673" t="str">
        <f t="shared" si="20"/>
        <v>25–34</v>
      </c>
      <c r="L673" t="str">
        <f t="shared" si="21"/>
        <v>2023-08</v>
      </c>
    </row>
    <row r="674" spans="1:12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f>Table1[[#This Row],[Quantity]]*Table1[[#This Row],[Price per Unit]]</f>
        <v>1500</v>
      </c>
      <c r="K674" t="str">
        <f t="shared" si="20"/>
        <v>35–44</v>
      </c>
      <c r="L674" t="str">
        <f t="shared" si="21"/>
        <v>2023-02</v>
      </c>
    </row>
    <row r="675" spans="1:12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f>Table1[[#This Row],[Quantity]]*Table1[[#This Row],[Price per Unit]]</f>
        <v>300</v>
      </c>
      <c r="K675" t="str">
        <f t="shared" si="20"/>
        <v>35–44</v>
      </c>
      <c r="L675" t="str">
        <f t="shared" si="21"/>
        <v>2023-04</v>
      </c>
    </row>
    <row r="676" spans="1:12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f>Table1[[#This Row],[Quantity]]*Table1[[#This Row],[Price per Unit]]</f>
        <v>60</v>
      </c>
      <c r="K676" t="str">
        <f t="shared" si="20"/>
        <v>45–54</v>
      </c>
      <c r="L676" t="str">
        <f t="shared" si="21"/>
        <v>2023-08</v>
      </c>
    </row>
    <row r="677" spans="1:12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f>Table1[[#This Row],[Quantity]]*Table1[[#This Row],[Price per Unit]]</f>
        <v>1500</v>
      </c>
      <c r="K677" t="str">
        <f t="shared" si="20"/>
        <v>55+</v>
      </c>
      <c r="L677" t="str">
        <f t="shared" si="21"/>
        <v>2023-07</v>
      </c>
    </row>
    <row r="678" spans="1:12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f>Table1[[#This Row],[Quantity]]*Table1[[#This Row],[Price per Unit]]</f>
        <v>1500</v>
      </c>
      <c r="K678" t="str">
        <f t="shared" si="20"/>
        <v>Under 25</v>
      </c>
      <c r="L678" t="str">
        <f t="shared" si="21"/>
        <v>2023-10</v>
      </c>
    </row>
    <row r="679" spans="1:12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f>Table1[[#This Row],[Quantity]]*Table1[[#This Row],[Price per Unit]]</f>
        <v>900</v>
      </c>
      <c r="K679" t="str">
        <f t="shared" si="20"/>
        <v>55+</v>
      </c>
      <c r="L679" t="str">
        <f t="shared" si="21"/>
        <v>2023-12</v>
      </c>
    </row>
    <row r="680" spans="1:12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f>Table1[[#This Row],[Quantity]]*Table1[[#This Row],[Price per Unit]]</f>
        <v>90</v>
      </c>
      <c r="K680" t="str">
        <f t="shared" si="20"/>
        <v>Under 25</v>
      </c>
      <c r="L680" t="str">
        <f t="shared" si="21"/>
        <v>2023-01</v>
      </c>
    </row>
    <row r="681" spans="1:12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f>Table1[[#This Row],[Quantity]]*Table1[[#This Row],[Price per Unit]]</f>
        <v>900</v>
      </c>
      <c r="K681" t="str">
        <f t="shared" si="20"/>
        <v>45–54</v>
      </c>
      <c r="L681" t="str">
        <f t="shared" si="21"/>
        <v>2023-10</v>
      </c>
    </row>
    <row r="682" spans="1:12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f>Table1[[#This Row],[Quantity]]*Table1[[#This Row],[Price per Unit]]</f>
        <v>60</v>
      </c>
      <c r="K682" t="str">
        <f t="shared" si="20"/>
        <v>35–44</v>
      </c>
      <c r="L682" t="str">
        <f t="shared" si="21"/>
        <v>2023-07</v>
      </c>
    </row>
    <row r="683" spans="1:12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f>Table1[[#This Row],[Quantity]]*Table1[[#This Row],[Price per Unit]]</f>
        <v>1200</v>
      </c>
      <c r="K683" t="str">
        <f t="shared" si="20"/>
        <v>45–54</v>
      </c>
      <c r="L683" t="str">
        <f t="shared" si="21"/>
        <v>2023-09</v>
      </c>
    </row>
    <row r="684" spans="1:12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f>Table1[[#This Row],[Quantity]]*Table1[[#This Row],[Price per Unit]]</f>
        <v>1000</v>
      </c>
      <c r="K684" t="str">
        <f t="shared" si="20"/>
        <v>35–44</v>
      </c>
      <c r="L684" t="str">
        <f t="shared" si="21"/>
        <v>2023-01</v>
      </c>
    </row>
    <row r="685" spans="1:12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f>Table1[[#This Row],[Quantity]]*Table1[[#This Row],[Price per Unit]]</f>
        <v>1000</v>
      </c>
      <c r="K685" t="str">
        <f t="shared" si="20"/>
        <v>25–34</v>
      </c>
      <c r="L685" t="str">
        <f t="shared" si="21"/>
        <v>2023-06</v>
      </c>
    </row>
    <row r="686" spans="1:12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f>Table1[[#This Row],[Quantity]]*Table1[[#This Row],[Price per Unit]]</f>
        <v>50</v>
      </c>
      <c r="K686" t="str">
        <f t="shared" si="20"/>
        <v>55+</v>
      </c>
      <c r="L686" t="str">
        <f t="shared" si="21"/>
        <v>2023-06</v>
      </c>
    </row>
    <row r="687" spans="1:12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f>Table1[[#This Row],[Quantity]]*Table1[[#This Row],[Price per Unit]]</f>
        <v>200</v>
      </c>
      <c r="K687" t="str">
        <f t="shared" si="20"/>
        <v>25–34</v>
      </c>
      <c r="L687" t="str">
        <f t="shared" si="21"/>
        <v>2023-07</v>
      </c>
    </row>
    <row r="688" spans="1:12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f>Table1[[#This Row],[Quantity]]*Table1[[#This Row],[Price per Unit]]</f>
        <v>300</v>
      </c>
      <c r="K688" t="str">
        <f t="shared" si="20"/>
        <v>45–54</v>
      </c>
      <c r="L688" t="str">
        <f t="shared" si="21"/>
        <v>2023-08</v>
      </c>
    </row>
    <row r="689" spans="1:12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f>Table1[[#This Row],[Quantity]]*Table1[[#This Row],[Price per Unit]]</f>
        <v>100</v>
      </c>
      <c r="K689" t="str">
        <f t="shared" si="20"/>
        <v>55+</v>
      </c>
      <c r="L689" t="str">
        <f t="shared" si="21"/>
        <v>2023-10</v>
      </c>
    </row>
    <row r="690" spans="1:12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f>Table1[[#This Row],[Quantity]]*Table1[[#This Row],[Price per Unit]]</f>
        <v>100</v>
      </c>
      <c r="K690" t="str">
        <f t="shared" si="20"/>
        <v>55+</v>
      </c>
      <c r="L690" t="str">
        <f t="shared" si="21"/>
        <v>2023-10</v>
      </c>
    </row>
    <row r="691" spans="1:12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f>Table1[[#This Row],[Quantity]]*Table1[[#This Row],[Price per Unit]]</f>
        <v>900</v>
      </c>
      <c r="K691" t="str">
        <f t="shared" si="20"/>
        <v>45–54</v>
      </c>
      <c r="L691" t="str">
        <f t="shared" si="21"/>
        <v>2023-11</v>
      </c>
    </row>
    <row r="692" spans="1:12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f>Table1[[#This Row],[Quantity]]*Table1[[#This Row],[Price per Unit]]</f>
        <v>90</v>
      </c>
      <c r="K692" t="str">
        <f t="shared" si="20"/>
        <v>45–54</v>
      </c>
      <c r="L692" t="str">
        <f t="shared" si="21"/>
        <v>2023-04</v>
      </c>
    </row>
    <row r="693" spans="1:12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f>Table1[[#This Row],[Quantity]]*Table1[[#This Row],[Price per Unit]]</f>
        <v>100</v>
      </c>
      <c r="K693" t="str">
        <f t="shared" si="20"/>
        <v>55+</v>
      </c>
      <c r="L693" t="str">
        <f t="shared" si="21"/>
        <v>2023-09</v>
      </c>
    </row>
    <row r="694" spans="1:12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f>Table1[[#This Row],[Quantity]]*Table1[[#This Row],[Price per Unit]]</f>
        <v>1500</v>
      </c>
      <c r="K694" t="str">
        <f t="shared" si="20"/>
        <v>35–44</v>
      </c>
      <c r="L694" t="str">
        <f t="shared" si="21"/>
        <v>2023-04</v>
      </c>
    </row>
    <row r="695" spans="1:12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f>Table1[[#This Row],[Quantity]]*Table1[[#This Row],[Price per Unit]]</f>
        <v>50</v>
      </c>
      <c r="K695" t="str">
        <f t="shared" si="20"/>
        <v>35–44</v>
      </c>
      <c r="L695" t="str">
        <f t="shared" si="21"/>
        <v>2023-05</v>
      </c>
    </row>
    <row r="696" spans="1:12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f>Table1[[#This Row],[Quantity]]*Table1[[#This Row],[Price per Unit]]</f>
        <v>150</v>
      </c>
      <c r="K696" t="str">
        <f t="shared" si="20"/>
        <v>Under 25</v>
      </c>
      <c r="L696" t="str">
        <f t="shared" si="21"/>
        <v>2023-08</v>
      </c>
    </row>
    <row r="697" spans="1:12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f>Table1[[#This Row],[Quantity]]*Table1[[#This Row],[Price per Unit]]</f>
        <v>200</v>
      </c>
      <c r="K697" t="str">
        <f t="shared" si="20"/>
        <v>45–54</v>
      </c>
      <c r="L697" t="str">
        <f t="shared" si="21"/>
        <v>2023-09</v>
      </c>
    </row>
    <row r="698" spans="1:12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f>Table1[[#This Row],[Quantity]]*Table1[[#This Row],[Price per Unit]]</f>
        <v>500</v>
      </c>
      <c r="K698" t="str">
        <f t="shared" si="20"/>
        <v>45–54</v>
      </c>
      <c r="L698" t="str">
        <f t="shared" si="21"/>
        <v>2023-01</v>
      </c>
    </row>
    <row r="699" spans="1:12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f>Table1[[#This Row],[Quantity]]*Table1[[#This Row],[Price per Unit]]</f>
        <v>300</v>
      </c>
      <c r="K699" t="str">
        <f t="shared" si="20"/>
        <v>55+</v>
      </c>
      <c r="L699" t="str">
        <f t="shared" si="21"/>
        <v>2023-07</v>
      </c>
    </row>
    <row r="700" spans="1:12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f>Table1[[#This Row],[Quantity]]*Table1[[#This Row],[Price per Unit]]</f>
        <v>120</v>
      </c>
      <c r="K700" t="str">
        <f t="shared" si="20"/>
        <v>35–44</v>
      </c>
      <c r="L700" t="str">
        <f t="shared" si="21"/>
        <v>2023-06</v>
      </c>
    </row>
    <row r="701" spans="1:12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f>Table1[[#This Row],[Quantity]]*Table1[[#This Row],[Price per Unit]]</f>
        <v>2000</v>
      </c>
      <c r="K701" t="str">
        <f t="shared" si="20"/>
        <v>35–44</v>
      </c>
      <c r="L701" t="str">
        <f t="shared" si="21"/>
        <v>2023-12</v>
      </c>
    </row>
    <row r="702" spans="1:12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f>Table1[[#This Row],[Quantity]]*Table1[[#This Row],[Price per Unit]]</f>
        <v>60</v>
      </c>
      <c r="K702" t="str">
        <f t="shared" si="20"/>
        <v>45–54</v>
      </c>
      <c r="L702" t="str">
        <f t="shared" si="21"/>
        <v>2023-12</v>
      </c>
    </row>
    <row r="703" spans="1:12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f>Table1[[#This Row],[Quantity]]*Table1[[#This Row],[Price per Unit]]</f>
        <v>600</v>
      </c>
      <c r="K703" t="str">
        <f t="shared" si="20"/>
        <v>55+</v>
      </c>
      <c r="L703" t="str">
        <f t="shared" si="21"/>
        <v>2023-07</v>
      </c>
    </row>
    <row r="704" spans="1:12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f>Table1[[#This Row],[Quantity]]*Table1[[#This Row],[Price per Unit]]</f>
        <v>100</v>
      </c>
      <c r="K704" t="str">
        <f t="shared" si="20"/>
        <v>25–34</v>
      </c>
      <c r="L704" t="str">
        <f t="shared" si="21"/>
        <v>2023-03</v>
      </c>
    </row>
    <row r="705" spans="1:12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f>Table1[[#This Row],[Quantity]]*Table1[[#This Row],[Price per Unit]]</f>
        <v>90</v>
      </c>
      <c r="K705" t="str">
        <f t="shared" si="20"/>
        <v>55+</v>
      </c>
      <c r="L705" t="str">
        <f t="shared" si="21"/>
        <v>2023-08</v>
      </c>
    </row>
    <row r="706" spans="1:12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f>Table1[[#This Row],[Quantity]]*Table1[[#This Row],[Price per Unit]]</f>
        <v>50</v>
      </c>
      <c r="K706" t="str">
        <f t="shared" ref="K706:K769" si="22">IF(E706&lt;25,"Under 25",
IF(E706&lt;35,"25–34",
IF(E706&lt;45,"35–44",
IF(E706&lt;55,"45–54","55+"))))</f>
        <v>55+</v>
      </c>
      <c r="L706" t="str">
        <f t="shared" ref="L706:L769" si="23">TEXT(B706,"yyyy-mm")</f>
        <v>2023-03</v>
      </c>
    </row>
    <row r="707" spans="1:12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f>Table1[[#This Row],[Quantity]]*Table1[[#This Row],[Price per Unit]]</f>
        <v>100</v>
      </c>
      <c r="K707" t="str">
        <f t="shared" si="22"/>
        <v>45–54</v>
      </c>
      <c r="L707" t="str">
        <f t="shared" si="23"/>
        <v>2023-11</v>
      </c>
    </row>
    <row r="708" spans="1:12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f>Table1[[#This Row],[Quantity]]*Table1[[#This Row],[Price per Unit]]</f>
        <v>500</v>
      </c>
      <c r="K708" t="str">
        <f t="shared" si="22"/>
        <v>25–34</v>
      </c>
      <c r="L708" t="str">
        <f t="shared" si="23"/>
        <v>2023-10</v>
      </c>
    </row>
    <row r="709" spans="1:12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f>Table1[[#This Row],[Quantity]]*Table1[[#This Row],[Price per Unit]]</f>
        <v>900</v>
      </c>
      <c r="K709" t="str">
        <f t="shared" si="22"/>
        <v>35–44</v>
      </c>
      <c r="L709" t="str">
        <f t="shared" si="23"/>
        <v>2023-01</v>
      </c>
    </row>
    <row r="710" spans="1:12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f>Table1[[#This Row],[Quantity]]*Table1[[#This Row],[Price per Unit]]</f>
        <v>1000</v>
      </c>
      <c r="K710" t="str">
        <f t="shared" si="22"/>
        <v>Under 25</v>
      </c>
      <c r="L710" t="str">
        <f t="shared" si="23"/>
        <v>2023-07</v>
      </c>
    </row>
    <row r="711" spans="1:12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f>Table1[[#This Row],[Quantity]]*Table1[[#This Row],[Price per Unit]]</f>
        <v>1500</v>
      </c>
      <c r="K711" t="str">
        <f t="shared" si="22"/>
        <v>25–34</v>
      </c>
      <c r="L711" t="str">
        <f t="shared" si="23"/>
        <v>2023-10</v>
      </c>
    </row>
    <row r="712" spans="1:12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f>Table1[[#This Row],[Quantity]]*Table1[[#This Row],[Price per Unit]]</f>
        <v>1500</v>
      </c>
      <c r="K712" t="str">
        <f t="shared" si="22"/>
        <v>25–34</v>
      </c>
      <c r="L712" t="str">
        <f t="shared" si="23"/>
        <v>2023-10</v>
      </c>
    </row>
    <row r="713" spans="1:12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f>Table1[[#This Row],[Quantity]]*Table1[[#This Row],[Price per Unit]]</f>
        <v>50</v>
      </c>
      <c r="K713" t="str">
        <f t="shared" si="22"/>
        <v>55+</v>
      </c>
      <c r="L713" t="str">
        <f t="shared" si="23"/>
        <v>2023-12</v>
      </c>
    </row>
    <row r="714" spans="1:12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f>Table1[[#This Row],[Quantity]]*Table1[[#This Row],[Price per Unit]]</f>
        <v>75</v>
      </c>
      <c r="K714" t="str">
        <f t="shared" si="22"/>
        <v>25–34</v>
      </c>
      <c r="L714" t="str">
        <f t="shared" si="23"/>
        <v>2023-01</v>
      </c>
    </row>
    <row r="715" spans="1:12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f>Table1[[#This Row],[Quantity]]*Table1[[#This Row],[Price per Unit]]</f>
        <v>500</v>
      </c>
      <c r="K715" t="str">
        <f t="shared" si="22"/>
        <v>Under 25</v>
      </c>
      <c r="L715" t="str">
        <f t="shared" si="23"/>
        <v>2023-02</v>
      </c>
    </row>
    <row r="716" spans="1:12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f>Table1[[#This Row],[Quantity]]*Table1[[#This Row],[Price per Unit]]</f>
        <v>100</v>
      </c>
      <c r="K716" t="str">
        <f t="shared" si="22"/>
        <v>35–44</v>
      </c>
      <c r="L716" t="str">
        <f t="shared" si="23"/>
        <v>2023-11</v>
      </c>
    </row>
    <row r="717" spans="1:12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f>Table1[[#This Row],[Quantity]]*Table1[[#This Row],[Price per Unit]]</f>
        <v>1200</v>
      </c>
      <c r="K717" t="str">
        <f t="shared" si="22"/>
        <v>55+</v>
      </c>
      <c r="L717" t="str">
        <f t="shared" si="23"/>
        <v>2023-08</v>
      </c>
    </row>
    <row r="718" spans="1:12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f>Table1[[#This Row],[Quantity]]*Table1[[#This Row],[Price per Unit]]</f>
        <v>500</v>
      </c>
      <c r="K718" t="str">
        <f t="shared" si="22"/>
        <v>55+</v>
      </c>
      <c r="L718" t="str">
        <f t="shared" si="23"/>
        <v>2023-03</v>
      </c>
    </row>
    <row r="719" spans="1:12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f>Table1[[#This Row],[Quantity]]*Table1[[#This Row],[Price per Unit]]</f>
        <v>75</v>
      </c>
      <c r="K719" t="str">
        <f t="shared" si="22"/>
        <v>55+</v>
      </c>
      <c r="L719" t="str">
        <f t="shared" si="23"/>
        <v>2023-08</v>
      </c>
    </row>
    <row r="720" spans="1:12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f>Table1[[#This Row],[Quantity]]*Table1[[#This Row],[Price per Unit]]</f>
        <v>60</v>
      </c>
      <c r="K720" t="str">
        <f t="shared" si="22"/>
        <v>35–44</v>
      </c>
      <c r="L720" t="str">
        <f t="shared" si="23"/>
        <v>2023-04</v>
      </c>
    </row>
    <row r="721" spans="1:12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f>Table1[[#This Row],[Quantity]]*Table1[[#This Row],[Price per Unit]]</f>
        <v>1500</v>
      </c>
      <c r="K721" t="str">
        <f t="shared" si="22"/>
        <v>55+</v>
      </c>
      <c r="L721" t="str">
        <f t="shared" si="23"/>
        <v>2023-01</v>
      </c>
    </row>
    <row r="722" spans="1:12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f>Table1[[#This Row],[Quantity]]*Table1[[#This Row],[Price per Unit]]</f>
        <v>500</v>
      </c>
      <c r="K722" t="str">
        <f t="shared" si="22"/>
        <v>45–54</v>
      </c>
      <c r="L722" t="str">
        <f t="shared" si="23"/>
        <v>2023-05</v>
      </c>
    </row>
    <row r="723" spans="1:12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f>Table1[[#This Row],[Quantity]]*Table1[[#This Row],[Price per Unit]]</f>
        <v>900</v>
      </c>
      <c r="K723" t="str">
        <f t="shared" si="22"/>
        <v>Under 25</v>
      </c>
      <c r="L723" t="str">
        <f t="shared" si="23"/>
        <v>2023-07</v>
      </c>
    </row>
    <row r="724" spans="1:12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f>Table1[[#This Row],[Quantity]]*Table1[[#This Row],[Price per Unit]]</f>
        <v>200</v>
      </c>
      <c r="K724" t="str">
        <f t="shared" si="22"/>
        <v>45–54</v>
      </c>
      <c r="L724" t="str">
        <f t="shared" si="23"/>
        <v>2023-06</v>
      </c>
    </row>
    <row r="725" spans="1:12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f>Table1[[#This Row],[Quantity]]*Table1[[#This Row],[Price per Unit]]</f>
        <v>150</v>
      </c>
      <c r="K725" t="str">
        <f t="shared" si="22"/>
        <v>55+</v>
      </c>
      <c r="L725" t="str">
        <f t="shared" si="23"/>
        <v>2023-04</v>
      </c>
    </row>
    <row r="726" spans="1:12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f>Table1[[#This Row],[Quantity]]*Table1[[#This Row],[Price per Unit]]</f>
        <v>300</v>
      </c>
      <c r="K726" t="str">
        <f t="shared" si="22"/>
        <v>55+</v>
      </c>
      <c r="L726" t="str">
        <f t="shared" si="23"/>
        <v>2023-08</v>
      </c>
    </row>
    <row r="727" spans="1:12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f>Table1[[#This Row],[Quantity]]*Table1[[#This Row],[Price per Unit]]</f>
        <v>1200</v>
      </c>
      <c r="K727" t="str">
        <f t="shared" si="22"/>
        <v>45–54</v>
      </c>
      <c r="L727" t="str">
        <f t="shared" si="23"/>
        <v>2023-06</v>
      </c>
    </row>
    <row r="728" spans="1:12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f>Table1[[#This Row],[Quantity]]*Table1[[#This Row],[Price per Unit]]</f>
        <v>900</v>
      </c>
      <c r="K728" t="str">
        <f t="shared" si="22"/>
        <v>55+</v>
      </c>
      <c r="L728" t="str">
        <f t="shared" si="23"/>
        <v>2023-06</v>
      </c>
    </row>
    <row r="729" spans="1:12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f>Table1[[#This Row],[Quantity]]*Table1[[#This Row],[Price per Unit]]</f>
        <v>150</v>
      </c>
      <c r="K729" t="str">
        <f t="shared" si="22"/>
        <v>45–54</v>
      </c>
      <c r="L729" t="str">
        <f t="shared" si="23"/>
        <v>2023-07</v>
      </c>
    </row>
    <row r="730" spans="1:12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f>Table1[[#This Row],[Quantity]]*Table1[[#This Row],[Price per Unit]]</f>
        <v>1200</v>
      </c>
      <c r="K730" t="str">
        <f t="shared" si="22"/>
        <v>25–34</v>
      </c>
      <c r="L730" t="str">
        <f t="shared" si="23"/>
        <v>2023-05</v>
      </c>
    </row>
    <row r="731" spans="1:12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f>Table1[[#This Row],[Quantity]]*Table1[[#This Row],[Price per Unit]]</f>
        <v>50</v>
      </c>
      <c r="K731" t="str">
        <f t="shared" si="22"/>
        <v>35–44</v>
      </c>
      <c r="L731" t="str">
        <f t="shared" si="23"/>
        <v>2023-08</v>
      </c>
    </row>
    <row r="732" spans="1:12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f>Table1[[#This Row],[Quantity]]*Table1[[#This Row],[Price per Unit]]</f>
        <v>2000</v>
      </c>
      <c r="K732" t="str">
        <f t="shared" si="22"/>
        <v>45–54</v>
      </c>
      <c r="L732" t="str">
        <f t="shared" si="23"/>
        <v>2023-05</v>
      </c>
    </row>
    <row r="733" spans="1:12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f>Table1[[#This Row],[Quantity]]*Table1[[#This Row],[Price per Unit]]</f>
        <v>1000</v>
      </c>
      <c r="K733" t="str">
        <f t="shared" si="22"/>
        <v>55+</v>
      </c>
      <c r="L733" t="str">
        <f t="shared" si="23"/>
        <v>2023-02</v>
      </c>
    </row>
    <row r="734" spans="1:12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f>Table1[[#This Row],[Quantity]]*Table1[[#This Row],[Price per Unit]]</f>
        <v>30</v>
      </c>
      <c r="K734" t="str">
        <f t="shared" si="22"/>
        <v>25–34</v>
      </c>
      <c r="L734" t="str">
        <f t="shared" si="23"/>
        <v>2023-08</v>
      </c>
    </row>
    <row r="735" spans="1:12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f>Table1[[#This Row],[Quantity]]*Table1[[#This Row],[Price per Unit]]</f>
        <v>30</v>
      </c>
      <c r="K735" t="str">
        <f t="shared" si="22"/>
        <v>25–34</v>
      </c>
      <c r="L735" t="str">
        <f t="shared" si="23"/>
        <v>2023-01</v>
      </c>
    </row>
    <row r="736" spans="1:12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f>Table1[[#This Row],[Quantity]]*Table1[[#This Row],[Price per Unit]]</f>
        <v>2000</v>
      </c>
      <c r="K736" t="str">
        <f t="shared" si="22"/>
        <v>55+</v>
      </c>
      <c r="L736" t="str">
        <f t="shared" si="23"/>
        <v>2023-10</v>
      </c>
    </row>
    <row r="737" spans="1:12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f>Table1[[#This Row],[Quantity]]*Table1[[#This Row],[Price per Unit]]</f>
        <v>100</v>
      </c>
      <c r="K737" t="str">
        <f t="shared" si="22"/>
        <v>25–34</v>
      </c>
      <c r="L737" t="str">
        <f t="shared" si="23"/>
        <v>2023-01</v>
      </c>
    </row>
    <row r="738" spans="1:12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f>Table1[[#This Row],[Quantity]]*Table1[[#This Row],[Price per Unit]]</f>
        <v>50</v>
      </c>
      <c r="K738" t="str">
        <f t="shared" si="22"/>
        <v>25–34</v>
      </c>
      <c r="L738" t="str">
        <f t="shared" si="23"/>
        <v>2023-06</v>
      </c>
    </row>
    <row r="739" spans="1:12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f>Table1[[#This Row],[Quantity]]*Table1[[#This Row],[Price per Unit]]</f>
        <v>100</v>
      </c>
      <c r="K739" t="str">
        <f t="shared" si="22"/>
        <v>35–44</v>
      </c>
      <c r="L739" t="str">
        <f t="shared" si="23"/>
        <v>2023-04</v>
      </c>
    </row>
    <row r="740" spans="1:12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f>Table1[[#This Row],[Quantity]]*Table1[[#This Row],[Price per Unit]]</f>
        <v>25</v>
      </c>
      <c r="K740" t="str">
        <f t="shared" si="22"/>
        <v>35–44</v>
      </c>
      <c r="L740" t="str">
        <f t="shared" si="23"/>
        <v>2023-11</v>
      </c>
    </row>
    <row r="741" spans="1:12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f>Table1[[#This Row],[Quantity]]*Table1[[#This Row],[Price per Unit]]</f>
        <v>200</v>
      </c>
      <c r="K741" t="str">
        <f t="shared" si="22"/>
        <v>25–34</v>
      </c>
      <c r="L741" t="str">
        <f t="shared" si="23"/>
        <v>2023-02</v>
      </c>
    </row>
    <row r="742" spans="1:12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f>Table1[[#This Row],[Quantity]]*Table1[[#This Row],[Price per Unit]]</f>
        <v>300</v>
      </c>
      <c r="K742" t="str">
        <f t="shared" si="22"/>
        <v>45–54</v>
      </c>
      <c r="L742" t="str">
        <f t="shared" si="23"/>
        <v>2023-11</v>
      </c>
    </row>
    <row r="743" spans="1:12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f>Table1[[#This Row],[Quantity]]*Table1[[#This Row],[Price per Unit]]</f>
        <v>2000</v>
      </c>
      <c r="K743" t="str">
        <f t="shared" si="22"/>
        <v>35–44</v>
      </c>
      <c r="L743" t="str">
        <f t="shared" si="23"/>
        <v>2023-01</v>
      </c>
    </row>
    <row r="744" spans="1:12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f>Table1[[#This Row],[Quantity]]*Table1[[#This Row],[Price per Unit]]</f>
        <v>2000</v>
      </c>
      <c r="K744" t="str">
        <f t="shared" si="22"/>
        <v>25–34</v>
      </c>
      <c r="L744" t="str">
        <f t="shared" si="23"/>
        <v>2023-01</v>
      </c>
    </row>
    <row r="745" spans="1:12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f>Table1[[#This Row],[Quantity]]*Table1[[#This Row],[Price per Unit]]</f>
        <v>25</v>
      </c>
      <c r="K745" t="str">
        <f t="shared" si="22"/>
        <v>35–44</v>
      </c>
      <c r="L745" t="str">
        <f t="shared" si="23"/>
        <v>2023-05</v>
      </c>
    </row>
    <row r="746" spans="1:12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f>Table1[[#This Row],[Quantity]]*Table1[[#This Row],[Price per Unit]]</f>
        <v>100</v>
      </c>
      <c r="K746" t="str">
        <f t="shared" si="22"/>
        <v>45–54</v>
      </c>
      <c r="L746" t="str">
        <f t="shared" si="23"/>
        <v>2023-04</v>
      </c>
    </row>
    <row r="747" spans="1:12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f>Table1[[#This Row],[Quantity]]*Table1[[#This Row],[Price per Unit]]</f>
        <v>90</v>
      </c>
      <c r="K747" t="str">
        <f t="shared" si="22"/>
        <v>25–34</v>
      </c>
      <c r="L747" t="str">
        <f t="shared" si="23"/>
        <v>2023-01</v>
      </c>
    </row>
    <row r="748" spans="1:12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f>Table1[[#This Row],[Quantity]]*Table1[[#This Row],[Price per Unit]]</f>
        <v>30</v>
      </c>
      <c r="K748" t="str">
        <f t="shared" si="22"/>
        <v>Under 25</v>
      </c>
      <c r="L748" t="str">
        <f t="shared" si="23"/>
        <v>2023-11</v>
      </c>
    </row>
    <row r="749" spans="1:12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f>Table1[[#This Row],[Quantity]]*Table1[[#This Row],[Price per Unit]]</f>
        <v>150</v>
      </c>
      <c r="K749" t="str">
        <f t="shared" si="22"/>
        <v>25–34</v>
      </c>
      <c r="L749" t="str">
        <f t="shared" si="23"/>
        <v>2023-03</v>
      </c>
    </row>
    <row r="750" spans="1:12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f>Table1[[#This Row],[Quantity]]*Table1[[#This Row],[Price per Unit]]</f>
        <v>30</v>
      </c>
      <c r="K750" t="str">
        <f t="shared" si="22"/>
        <v>35–44</v>
      </c>
      <c r="L750" t="str">
        <f t="shared" si="23"/>
        <v>2023-05</v>
      </c>
    </row>
    <row r="751" spans="1:12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f>Table1[[#This Row],[Quantity]]*Table1[[#This Row],[Price per Unit]]</f>
        <v>75</v>
      </c>
      <c r="K751" t="str">
        <f t="shared" si="22"/>
        <v>35–44</v>
      </c>
      <c r="L751" t="str">
        <f t="shared" si="23"/>
        <v>2023-03</v>
      </c>
    </row>
    <row r="752" spans="1:12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f>Table1[[#This Row],[Quantity]]*Table1[[#This Row],[Price per Unit]]</f>
        <v>50</v>
      </c>
      <c r="K752" t="str">
        <f t="shared" si="22"/>
        <v>35–44</v>
      </c>
      <c r="L752" t="str">
        <f t="shared" si="23"/>
        <v>2023-08</v>
      </c>
    </row>
    <row r="753" spans="1:12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f>Table1[[#This Row],[Quantity]]*Table1[[#This Row],[Price per Unit]]</f>
        <v>100</v>
      </c>
      <c r="K753" t="str">
        <f t="shared" si="22"/>
        <v>25–34</v>
      </c>
      <c r="L753" t="str">
        <f t="shared" si="23"/>
        <v>2023-12</v>
      </c>
    </row>
    <row r="754" spans="1:12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f>Table1[[#This Row],[Quantity]]*Table1[[#This Row],[Price per Unit]]</f>
        <v>30</v>
      </c>
      <c r="K754" t="str">
        <f t="shared" si="22"/>
        <v>25–34</v>
      </c>
      <c r="L754" t="str">
        <f t="shared" si="23"/>
        <v>2023-02</v>
      </c>
    </row>
    <row r="755" spans="1:12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f>Table1[[#This Row],[Quantity]]*Table1[[#This Row],[Price per Unit]]</f>
        <v>100</v>
      </c>
      <c r="K755" t="str">
        <f t="shared" si="22"/>
        <v>35–44</v>
      </c>
      <c r="L755" t="str">
        <f t="shared" si="23"/>
        <v>2023-10</v>
      </c>
    </row>
    <row r="756" spans="1:12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f>Table1[[#This Row],[Quantity]]*Table1[[#This Row],[Price per Unit]]</f>
        <v>75</v>
      </c>
      <c r="K756" t="str">
        <f t="shared" si="22"/>
        <v>55+</v>
      </c>
      <c r="L756" t="str">
        <f t="shared" si="23"/>
        <v>2023-04</v>
      </c>
    </row>
    <row r="757" spans="1:12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f>Table1[[#This Row],[Quantity]]*Table1[[#This Row],[Price per Unit]]</f>
        <v>1200</v>
      </c>
      <c r="K757" t="str">
        <f t="shared" si="22"/>
        <v>55+</v>
      </c>
      <c r="L757" t="str">
        <f t="shared" si="23"/>
        <v>2023-08</v>
      </c>
    </row>
    <row r="758" spans="1:12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f>Table1[[#This Row],[Quantity]]*Table1[[#This Row],[Price per Unit]]</f>
        <v>1200</v>
      </c>
      <c r="K758" t="str">
        <f t="shared" si="22"/>
        <v>35–44</v>
      </c>
      <c r="L758" t="str">
        <f t="shared" si="23"/>
        <v>2023-12</v>
      </c>
    </row>
    <row r="759" spans="1:12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f>Table1[[#This Row],[Quantity]]*Table1[[#This Row],[Price per Unit]]</f>
        <v>100</v>
      </c>
      <c r="K759" t="str">
        <f t="shared" si="22"/>
        <v>55+</v>
      </c>
      <c r="L759" t="str">
        <f t="shared" si="23"/>
        <v>2023-05</v>
      </c>
    </row>
    <row r="760" spans="1:12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f>Table1[[#This Row],[Quantity]]*Table1[[#This Row],[Price per Unit]]</f>
        <v>100</v>
      </c>
      <c r="K760" t="str">
        <f t="shared" si="22"/>
        <v>45–54</v>
      </c>
      <c r="L760" t="str">
        <f t="shared" si="23"/>
        <v>2023-07</v>
      </c>
    </row>
    <row r="761" spans="1:12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f>Table1[[#This Row],[Quantity]]*Table1[[#This Row],[Price per Unit]]</f>
        <v>500</v>
      </c>
      <c r="K761" t="str">
        <f t="shared" si="22"/>
        <v>25–34</v>
      </c>
      <c r="L761" t="str">
        <f t="shared" si="23"/>
        <v>2023-03</v>
      </c>
    </row>
    <row r="762" spans="1:12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f>Table1[[#This Row],[Quantity]]*Table1[[#This Row],[Price per Unit]]</f>
        <v>500</v>
      </c>
      <c r="K762" t="str">
        <f t="shared" si="22"/>
        <v>25–34</v>
      </c>
      <c r="L762" t="str">
        <f t="shared" si="23"/>
        <v>2023-11</v>
      </c>
    </row>
    <row r="763" spans="1:12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f>Table1[[#This Row],[Quantity]]*Table1[[#This Row],[Price per Unit]]</f>
        <v>50</v>
      </c>
      <c r="K763" t="str">
        <f t="shared" si="22"/>
        <v>Under 25</v>
      </c>
      <c r="L763" t="str">
        <f t="shared" si="23"/>
        <v>2023-11</v>
      </c>
    </row>
    <row r="764" spans="1:12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f>Table1[[#This Row],[Quantity]]*Table1[[#This Row],[Price per Unit]]</f>
        <v>50</v>
      </c>
      <c r="K764" t="str">
        <f t="shared" si="22"/>
        <v>25–34</v>
      </c>
      <c r="L764" t="str">
        <f t="shared" si="23"/>
        <v>2023-02</v>
      </c>
    </row>
    <row r="765" spans="1:12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f>Table1[[#This Row],[Quantity]]*Table1[[#This Row],[Price per Unit]]</f>
        <v>25</v>
      </c>
      <c r="K765" t="str">
        <f t="shared" si="22"/>
        <v>35–44</v>
      </c>
      <c r="L765" t="str">
        <f t="shared" si="23"/>
        <v>2023-03</v>
      </c>
    </row>
    <row r="766" spans="1:12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f>Table1[[#This Row],[Quantity]]*Table1[[#This Row],[Price per Unit]]</f>
        <v>200</v>
      </c>
      <c r="K766" t="str">
        <f t="shared" si="22"/>
        <v>35–44</v>
      </c>
      <c r="L766" t="str">
        <f t="shared" si="23"/>
        <v>2023-06</v>
      </c>
    </row>
    <row r="767" spans="1:12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f>Table1[[#This Row],[Quantity]]*Table1[[#This Row],[Price per Unit]]</f>
        <v>900</v>
      </c>
      <c r="K767" t="str">
        <f t="shared" si="22"/>
        <v>35–44</v>
      </c>
      <c r="L767" t="str">
        <f t="shared" si="23"/>
        <v>2023-02</v>
      </c>
    </row>
    <row r="768" spans="1:12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f>Table1[[#This Row],[Quantity]]*Table1[[#This Row],[Price per Unit]]</f>
        <v>75</v>
      </c>
      <c r="K768" t="str">
        <f t="shared" si="22"/>
        <v>35–44</v>
      </c>
      <c r="L768" t="str">
        <f t="shared" si="23"/>
        <v>2023-10</v>
      </c>
    </row>
    <row r="769" spans="1:12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f>Table1[[#This Row],[Quantity]]*Table1[[#This Row],[Price per Unit]]</f>
        <v>75</v>
      </c>
      <c r="K769" t="str">
        <f t="shared" si="22"/>
        <v>Under 25</v>
      </c>
      <c r="L769" t="str">
        <f t="shared" si="23"/>
        <v>2023-01</v>
      </c>
    </row>
    <row r="770" spans="1:12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f>Table1[[#This Row],[Quantity]]*Table1[[#This Row],[Price per Unit]]</f>
        <v>120</v>
      </c>
      <c r="K770" t="str">
        <f t="shared" ref="K770:K833" si="24">IF(E770&lt;25,"Under 25",
IF(E770&lt;35,"25–34",
IF(E770&lt;45,"35–44",
IF(E770&lt;55,"45–54","55+"))))</f>
        <v>25–34</v>
      </c>
      <c r="L770" t="str">
        <f t="shared" ref="L770:L833" si="25">TEXT(B770,"yyyy-mm")</f>
        <v>2023-06</v>
      </c>
    </row>
    <row r="771" spans="1:12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f>Table1[[#This Row],[Quantity]]*Table1[[#This Row],[Price per Unit]]</f>
        <v>50</v>
      </c>
      <c r="K771" t="str">
        <f t="shared" si="24"/>
        <v>25–34</v>
      </c>
      <c r="L771" t="str">
        <f t="shared" si="25"/>
        <v>2023-10</v>
      </c>
    </row>
    <row r="772" spans="1:12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f>Table1[[#This Row],[Quantity]]*Table1[[#This Row],[Price per Unit]]</f>
        <v>50</v>
      </c>
      <c r="K772" t="str">
        <f t="shared" si="24"/>
        <v>Under 25</v>
      </c>
      <c r="L772" t="str">
        <f t="shared" si="25"/>
        <v>2023-12</v>
      </c>
    </row>
    <row r="773" spans="1:12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f>Table1[[#This Row],[Quantity]]*Table1[[#This Row],[Price per Unit]]</f>
        <v>30</v>
      </c>
      <c r="K773" t="str">
        <f t="shared" si="24"/>
        <v>25–34</v>
      </c>
      <c r="L773" t="str">
        <f t="shared" si="25"/>
        <v>2023-07</v>
      </c>
    </row>
    <row r="774" spans="1:12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f>Table1[[#This Row],[Quantity]]*Table1[[#This Row],[Price per Unit]]</f>
        <v>2000</v>
      </c>
      <c r="K774" t="str">
        <f t="shared" si="24"/>
        <v>25–34</v>
      </c>
      <c r="L774" t="str">
        <f t="shared" si="25"/>
        <v>2023-07</v>
      </c>
    </row>
    <row r="775" spans="1:12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f>Table1[[#This Row],[Quantity]]*Table1[[#This Row],[Price per Unit]]</f>
        <v>50</v>
      </c>
      <c r="K775" t="str">
        <f t="shared" si="24"/>
        <v>35–44</v>
      </c>
      <c r="L775" t="str">
        <f t="shared" si="25"/>
        <v>2023-04</v>
      </c>
    </row>
    <row r="776" spans="1:12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f>Table1[[#This Row],[Quantity]]*Table1[[#This Row],[Price per Unit]]</f>
        <v>100</v>
      </c>
      <c r="K776" t="str">
        <f t="shared" si="24"/>
        <v>45–54</v>
      </c>
      <c r="L776" t="str">
        <f t="shared" si="25"/>
        <v>2023-02</v>
      </c>
    </row>
    <row r="777" spans="1:12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f>Table1[[#This Row],[Quantity]]*Table1[[#This Row],[Price per Unit]]</f>
        <v>90</v>
      </c>
      <c r="K777" t="str">
        <f t="shared" si="24"/>
        <v>35–44</v>
      </c>
      <c r="L777" t="str">
        <f t="shared" si="25"/>
        <v>2023-10</v>
      </c>
    </row>
    <row r="778" spans="1:12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f>Table1[[#This Row],[Quantity]]*Table1[[#This Row],[Price per Unit]]</f>
        <v>150</v>
      </c>
      <c r="K778" t="str">
        <f t="shared" si="24"/>
        <v>45–54</v>
      </c>
      <c r="L778" t="str">
        <f t="shared" si="25"/>
        <v>2023-12</v>
      </c>
    </row>
    <row r="779" spans="1:12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f>Table1[[#This Row],[Quantity]]*Table1[[#This Row],[Price per Unit]]</f>
        <v>100</v>
      </c>
      <c r="K779" t="str">
        <f t="shared" si="24"/>
        <v>45–54</v>
      </c>
      <c r="L779" t="str">
        <f t="shared" si="25"/>
        <v>2023-11</v>
      </c>
    </row>
    <row r="780" spans="1:12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f>Table1[[#This Row],[Quantity]]*Table1[[#This Row],[Price per Unit]]</f>
        <v>1000</v>
      </c>
      <c r="K780" t="str">
        <f t="shared" si="24"/>
        <v>55+</v>
      </c>
      <c r="L780" t="str">
        <f t="shared" si="25"/>
        <v>2023-05</v>
      </c>
    </row>
    <row r="781" spans="1:12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f>Table1[[#This Row],[Quantity]]*Table1[[#This Row],[Price per Unit]]</f>
        <v>50</v>
      </c>
      <c r="K781" t="str">
        <f t="shared" si="24"/>
        <v>45–54</v>
      </c>
      <c r="L781" t="str">
        <f t="shared" si="25"/>
        <v>2023-02</v>
      </c>
    </row>
    <row r="782" spans="1:12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f>Table1[[#This Row],[Quantity]]*Table1[[#This Row],[Price per Unit]]</f>
        <v>500</v>
      </c>
      <c r="K782" t="str">
        <f t="shared" si="24"/>
        <v>35–44</v>
      </c>
      <c r="L782" t="str">
        <f t="shared" si="25"/>
        <v>2023-12</v>
      </c>
    </row>
    <row r="783" spans="1:12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f>Table1[[#This Row],[Quantity]]*Table1[[#This Row],[Price per Unit]]</f>
        <v>900</v>
      </c>
      <c r="K783" t="str">
        <f t="shared" si="24"/>
        <v>55+</v>
      </c>
      <c r="L783" t="str">
        <f t="shared" si="25"/>
        <v>2023-06</v>
      </c>
    </row>
    <row r="784" spans="1:12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f>Table1[[#This Row],[Quantity]]*Table1[[#This Row],[Price per Unit]]</f>
        <v>300</v>
      </c>
      <c r="K784" t="str">
        <f t="shared" si="24"/>
        <v>55+</v>
      </c>
      <c r="L784" t="str">
        <f t="shared" si="25"/>
        <v>2023-12</v>
      </c>
    </row>
    <row r="785" spans="1:12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f>Table1[[#This Row],[Quantity]]*Table1[[#This Row],[Price per Unit]]</f>
        <v>500</v>
      </c>
      <c r="K785" t="str">
        <f t="shared" si="24"/>
        <v>25–34</v>
      </c>
      <c r="L785" t="str">
        <f t="shared" si="25"/>
        <v>2023-11</v>
      </c>
    </row>
    <row r="786" spans="1:12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f>Table1[[#This Row],[Quantity]]*Table1[[#This Row],[Price per Unit]]</f>
        <v>200</v>
      </c>
      <c r="K786" t="str">
        <f t="shared" si="24"/>
        <v>25–34</v>
      </c>
      <c r="L786" t="str">
        <f t="shared" si="25"/>
        <v>2023-03</v>
      </c>
    </row>
    <row r="787" spans="1:12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f>Table1[[#This Row],[Quantity]]*Table1[[#This Row],[Price per Unit]]</f>
        <v>100</v>
      </c>
      <c r="K787" t="str">
        <f t="shared" si="24"/>
        <v>45–54</v>
      </c>
      <c r="L787" t="str">
        <f t="shared" si="25"/>
        <v>2023-10</v>
      </c>
    </row>
    <row r="788" spans="1:12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f>Table1[[#This Row],[Quantity]]*Table1[[#This Row],[Price per Unit]]</f>
        <v>25</v>
      </c>
      <c r="K788" t="str">
        <f t="shared" si="24"/>
        <v>35–44</v>
      </c>
      <c r="L788" t="str">
        <f t="shared" si="25"/>
        <v>2023-01</v>
      </c>
    </row>
    <row r="789" spans="1:12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f>Table1[[#This Row],[Quantity]]*Table1[[#This Row],[Price per Unit]]</f>
        <v>900</v>
      </c>
      <c r="K789" t="str">
        <f t="shared" si="24"/>
        <v>45–54</v>
      </c>
      <c r="L789" t="str">
        <f t="shared" si="25"/>
        <v>2023-06</v>
      </c>
    </row>
    <row r="790" spans="1:12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f>Table1[[#This Row],[Quantity]]*Table1[[#This Row],[Price per Unit]]</f>
        <v>2000</v>
      </c>
      <c r="K790" t="str">
        <f t="shared" si="24"/>
        <v>55+</v>
      </c>
      <c r="L790" t="str">
        <f t="shared" si="25"/>
        <v>2023-09</v>
      </c>
    </row>
    <row r="791" spans="1:12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f>Table1[[#This Row],[Quantity]]*Table1[[#This Row],[Price per Unit]]</f>
        <v>25</v>
      </c>
      <c r="K791" t="str">
        <f t="shared" si="24"/>
        <v>55+</v>
      </c>
      <c r="L791" t="str">
        <f t="shared" si="25"/>
        <v>2023-08</v>
      </c>
    </row>
    <row r="792" spans="1:12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f>Table1[[#This Row],[Quantity]]*Table1[[#This Row],[Price per Unit]]</f>
        <v>25</v>
      </c>
      <c r="K792" t="str">
        <f t="shared" si="24"/>
        <v>45–54</v>
      </c>
      <c r="L792" t="str">
        <f t="shared" si="25"/>
        <v>2023-12</v>
      </c>
    </row>
    <row r="793" spans="1:12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f>Table1[[#This Row],[Quantity]]*Table1[[#This Row],[Price per Unit]]</f>
        <v>50</v>
      </c>
      <c r="K793" t="str">
        <f t="shared" si="24"/>
        <v>Under 25</v>
      </c>
      <c r="L793" t="str">
        <f t="shared" si="25"/>
        <v>2023-07</v>
      </c>
    </row>
    <row r="794" spans="1:12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f>Table1[[#This Row],[Quantity]]*Table1[[#This Row],[Price per Unit]]</f>
        <v>30</v>
      </c>
      <c r="K794" t="str">
        <f t="shared" si="24"/>
        <v>45–54</v>
      </c>
      <c r="L794" t="str">
        <f t="shared" si="25"/>
        <v>2023-02</v>
      </c>
    </row>
    <row r="795" spans="1:12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f>Table1[[#This Row],[Quantity]]*Table1[[#This Row],[Price per Unit]]</f>
        <v>300</v>
      </c>
      <c r="K795" t="str">
        <f t="shared" si="24"/>
        <v>55+</v>
      </c>
      <c r="L795" t="str">
        <f t="shared" si="25"/>
        <v>2023-09</v>
      </c>
    </row>
    <row r="796" spans="1:12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f>Table1[[#This Row],[Quantity]]*Table1[[#This Row],[Price per Unit]]</f>
        <v>300</v>
      </c>
      <c r="K796" t="str">
        <f t="shared" si="24"/>
        <v>55+</v>
      </c>
      <c r="L796" t="str">
        <f t="shared" si="25"/>
        <v>2023-11</v>
      </c>
    </row>
    <row r="797" spans="1:12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f>Table1[[#This Row],[Quantity]]*Table1[[#This Row],[Price per Unit]]</f>
        <v>120</v>
      </c>
      <c r="K797" t="str">
        <f t="shared" si="24"/>
        <v>35–44</v>
      </c>
      <c r="L797" t="str">
        <f t="shared" si="25"/>
        <v>2023-06</v>
      </c>
    </row>
    <row r="798" spans="1:12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f>Table1[[#This Row],[Quantity]]*Table1[[#This Row],[Price per Unit]]</f>
        <v>75</v>
      </c>
      <c r="K798" t="str">
        <f t="shared" si="24"/>
        <v>35–44</v>
      </c>
      <c r="L798" t="str">
        <f t="shared" si="25"/>
        <v>2023-01</v>
      </c>
    </row>
    <row r="799" spans="1:12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f>Table1[[#This Row],[Quantity]]*Table1[[#This Row],[Price per Unit]]</f>
        <v>50</v>
      </c>
      <c r="K799" t="str">
        <f t="shared" si="24"/>
        <v>55+</v>
      </c>
      <c r="L799" t="str">
        <f t="shared" si="25"/>
        <v>2023-08</v>
      </c>
    </row>
    <row r="800" spans="1:12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f>Table1[[#This Row],[Quantity]]*Table1[[#This Row],[Price per Unit]]</f>
        <v>100</v>
      </c>
      <c r="K800" t="str">
        <f t="shared" si="24"/>
        <v>55+</v>
      </c>
      <c r="L800" t="str">
        <f t="shared" si="25"/>
        <v>2023-09</v>
      </c>
    </row>
    <row r="801" spans="1:12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f>Table1[[#This Row],[Quantity]]*Table1[[#This Row],[Price per Unit]]</f>
        <v>1200</v>
      </c>
      <c r="K801" t="str">
        <f t="shared" si="24"/>
        <v>25–34</v>
      </c>
      <c r="L801" t="str">
        <f t="shared" si="25"/>
        <v>2023-02</v>
      </c>
    </row>
    <row r="802" spans="1:12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f>Table1[[#This Row],[Quantity]]*Table1[[#This Row],[Price per Unit]]</f>
        <v>200</v>
      </c>
      <c r="K802" t="str">
        <f t="shared" si="24"/>
        <v>Under 25</v>
      </c>
      <c r="L802" t="str">
        <f t="shared" si="25"/>
        <v>2023-08</v>
      </c>
    </row>
    <row r="803" spans="1:12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f>Table1[[#This Row],[Quantity]]*Table1[[#This Row],[Price per Unit]]</f>
        <v>30</v>
      </c>
      <c r="K803" t="str">
        <f t="shared" si="24"/>
        <v>45–54</v>
      </c>
      <c r="L803" t="str">
        <f t="shared" si="25"/>
        <v>2023-07</v>
      </c>
    </row>
    <row r="804" spans="1:12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f>Table1[[#This Row],[Quantity]]*Table1[[#This Row],[Price per Unit]]</f>
        <v>100</v>
      </c>
      <c r="K804" t="str">
        <f t="shared" si="24"/>
        <v>35–44</v>
      </c>
      <c r="L804" t="str">
        <f t="shared" si="25"/>
        <v>2023-11</v>
      </c>
    </row>
    <row r="805" spans="1:12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f>Table1[[#This Row],[Quantity]]*Table1[[#This Row],[Price per Unit]]</f>
        <v>30</v>
      </c>
      <c r="K805" t="str">
        <f t="shared" si="24"/>
        <v>35–44</v>
      </c>
      <c r="L805" t="str">
        <f t="shared" si="25"/>
        <v>2023-08</v>
      </c>
    </row>
    <row r="806" spans="1:12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f>Table1[[#This Row],[Quantity]]*Table1[[#This Row],[Price per Unit]]</f>
        <v>1500</v>
      </c>
      <c r="K806" t="str">
        <f t="shared" si="24"/>
        <v>25–34</v>
      </c>
      <c r="L806" t="str">
        <f t="shared" si="25"/>
        <v>2023-12</v>
      </c>
    </row>
    <row r="807" spans="1:12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f>Table1[[#This Row],[Quantity]]*Table1[[#This Row],[Price per Unit]]</f>
        <v>900</v>
      </c>
      <c r="K807" t="str">
        <f t="shared" si="24"/>
        <v>35–44</v>
      </c>
      <c r="L807" t="str">
        <f t="shared" si="25"/>
        <v>2023-03</v>
      </c>
    </row>
    <row r="808" spans="1:12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f>Table1[[#This Row],[Quantity]]*Table1[[#This Row],[Price per Unit]]</f>
        <v>200</v>
      </c>
      <c r="K808" t="str">
        <f t="shared" si="24"/>
        <v>45–54</v>
      </c>
      <c r="L808" t="str">
        <f t="shared" si="25"/>
        <v>2023-08</v>
      </c>
    </row>
    <row r="809" spans="1:12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f>Table1[[#This Row],[Quantity]]*Table1[[#This Row],[Price per Unit]]</f>
        <v>2000</v>
      </c>
      <c r="K809" t="str">
        <f t="shared" si="24"/>
        <v>25–34</v>
      </c>
      <c r="L809" t="str">
        <f t="shared" si="25"/>
        <v>2023-04</v>
      </c>
    </row>
    <row r="810" spans="1:12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f>Table1[[#This Row],[Quantity]]*Table1[[#This Row],[Price per Unit]]</f>
        <v>100</v>
      </c>
      <c r="K810" t="str">
        <f t="shared" si="24"/>
        <v>55+</v>
      </c>
      <c r="L810" t="str">
        <f t="shared" si="25"/>
        <v>2023-09</v>
      </c>
    </row>
    <row r="811" spans="1:12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f>Table1[[#This Row],[Quantity]]*Table1[[#This Row],[Price per Unit]]</f>
        <v>100</v>
      </c>
      <c r="K811" t="str">
        <f t="shared" si="24"/>
        <v>55+</v>
      </c>
      <c r="L811" t="str">
        <f t="shared" si="25"/>
        <v>2023-11</v>
      </c>
    </row>
    <row r="812" spans="1:12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f>Table1[[#This Row],[Quantity]]*Table1[[#This Row],[Price per Unit]]</f>
        <v>50</v>
      </c>
      <c r="K812" t="str">
        <f t="shared" si="24"/>
        <v>55+</v>
      </c>
      <c r="L812" t="str">
        <f t="shared" si="25"/>
        <v>2023-05</v>
      </c>
    </row>
    <row r="813" spans="1:12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f>Table1[[#This Row],[Quantity]]*Table1[[#This Row],[Price per Unit]]</f>
        <v>75</v>
      </c>
      <c r="K813" t="str">
        <f t="shared" si="24"/>
        <v>Under 25</v>
      </c>
      <c r="L813" t="str">
        <f t="shared" si="25"/>
        <v>2023-11</v>
      </c>
    </row>
    <row r="814" spans="1:12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f>Table1[[#This Row],[Quantity]]*Table1[[#This Row],[Price per Unit]]</f>
        <v>150</v>
      </c>
      <c r="K814" t="str">
        <f t="shared" si="24"/>
        <v>45–54</v>
      </c>
      <c r="L814" t="str">
        <f t="shared" si="25"/>
        <v>2023-10</v>
      </c>
    </row>
    <row r="815" spans="1:12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f>Table1[[#This Row],[Quantity]]*Table1[[#This Row],[Price per Unit]]</f>
        <v>500</v>
      </c>
      <c r="K815" t="str">
        <f t="shared" si="24"/>
        <v>55+</v>
      </c>
      <c r="L815" t="str">
        <f t="shared" si="25"/>
        <v>2023-09</v>
      </c>
    </row>
    <row r="816" spans="1:12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f>Table1[[#This Row],[Quantity]]*Table1[[#This Row],[Price per Unit]]</f>
        <v>75</v>
      </c>
      <c r="K816" t="str">
        <f t="shared" si="24"/>
        <v>45–54</v>
      </c>
      <c r="L816" t="str">
        <f t="shared" si="25"/>
        <v>2023-08</v>
      </c>
    </row>
    <row r="817" spans="1:12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f>Table1[[#This Row],[Quantity]]*Table1[[#This Row],[Price per Unit]]</f>
        <v>1000</v>
      </c>
      <c r="K817" t="str">
        <f t="shared" si="24"/>
        <v>45–54</v>
      </c>
      <c r="L817" t="str">
        <f t="shared" si="25"/>
        <v>2023-08</v>
      </c>
    </row>
    <row r="818" spans="1:12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f>Table1[[#This Row],[Quantity]]*Table1[[#This Row],[Price per Unit]]</f>
        <v>200</v>
      </c>
      <c r="K818" t="str">
        <f t="shared" si="24"/>
        <v>25–34</v>
      </c>
      <c r="L818" t="str">
        <f t="shared" si="25"/>
        <v>2023-10</v>
      </c>
    </row>
    <row r="819" spans="1:12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f>Table1[[#This Row],[Quantity]]*Table1[[#This Row],[Price per Unit]]</f>
        <v>500</v>
      </c>
      <c r="K819" t="str">
        <f t="shared" si="24"/>
        <v>25–34</v>
      </c>
      <c r="L819" t="str">
        <f t="shared" si="25"/>
        <v>2023-05</v>
      </c>
    </row>
    <row r="820" spans="1:12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f>Table1[[#This Row],[Quantity]]*Table1[[#This Row],[Price per Unit]]</f>
        <v>100</v>
      </c>
      <c r="K820" t="str">
        <f t="shared" si="24"/>
        <v>35–44</v>
      </c>
      <c r="L820" t="str">
        <f t="shared" si="25"/>
        <v>2023-06</v>
      </c>
    </row>
    <row r="821" spans="1:12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f>Table1[[#This Row],[Quantity]]*Table1[[#This Row],[Price per Unit]]</f>
        <v>200</v>
      </c>
      <c r="K821" t="str">
        <f t="shared" si="24"/>
        <v>45–54</v>
      </c>
      <c r="L821" t="str">
        <f t="shared" si="25"/>
        <v>2023-05</v>
      </c>
    </row>
    <row r="822" spans="1:12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f>Table1[[#This Row],[Quantity]]*Table1[[#This Row],[Price per Unit]]</f>
        <v>300</v>
      </c>
      <c r="K822" t="str">
        <f t="shared" si="24"/>
        <v>45–54</v>
      </c>
      <c r="L822" t="str">
        <f t="shared" si="25"/>
        <v>2023-02</v>
      </c>
    </row>
    <row r="823" spans="1:12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f>Table1[[#This Row],[Quantity]]*Table1[[#This Row],[Price per Unit]]</f>
        <v>150</v>
      </c>
      <c r="K823" t="str">
        <f t="shared" si="24"/>
        <v>45–54</v>
      </c>
      <c r="L823" t="str">
        <f t="shared" si="25"/>
        <v>2023-05</v>
      </c>
    </row>
    <row r="824" spans="1:12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f>Table1[[#This Row],[Quantity]]*Table1[[#This Row],[Price per Unit]]</f>
        <v>100</v>
      </c>
      <c r="K824" t="str">
        <f t="shared" si="24"/>
        <v>55+</v>
      </c>
      <c r="L824" t="str">
        <f t="shared" si="25"/>
        <v>2023-08</v>
      </c>
    </row>
    <row r="825" spans="1:12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f>Table1[[#This Row],[Quantity]]*Table1[[#This Row],[Price per Unit]]</f>
        <v>120</v>
      </c>
      <c r="K825" t="str">
        <f t="shared" si="24"/>
        <v>55+</v>
      </c>
      <c r="L825" t="str">
        <f t="shared" si="25"/>
        <v>2023-05</v>
      </c>
    </row>
    <row r="826" spans="1:12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f>Table1[[#This Row],[Quantity]]*Table1[[#This Row],[Price per Unit]]</f>
        <v>25</v>
      </c>
      <c r="K826" t="str">
        <f t="shared" si="24"/>
        <v>45–54</v>
      </c>
      <c r="L826" t="str">
        <f t="shared" si="25"/>
        <v>2023-08</v>
      </c>
    </row>
    <row r="827" spans="1:12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f>Table1[[#This Row],[Quantity]]*Table1[[#This Row],[Price per Unit]]</f>
        <v>300</v>
      </c>
      <c r="K827" t="str">
        <f t="shared" si="24"/>
        <v>45–54</v>
      </c>
      <c r="L827" t="str">
        <f t="shared" si="25"/>
        <v>2023-10</v>
      </c>
    </row>
    <row r="828" spans="1:12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f>Table1[[#This Row],[Quantity]]*Table1[[#This Row],[Price per Unit]]</f>
        <v>900</v>
      </c>
      <c r="K828" t="str">
        <f t="shared" si="24"/>
        <v>55+</v>
      </c>
      <c r="L828" t="str">
        <f t="shared" si="25"/>
        <v>2023-11</v>
      </c>
    </row>
    <row r="829" spans="1:12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f>Table1[[#This Row],[Quantity]]*Table1[[#This Row],[Price per Unit]]</f>
        <v>1200</v>
      </c>
      <c r="K829" t="str">
        <f t="shared" si="24"/>
        <v>25–34</v>
      </c>
      <c r="L829" t="str">
        <f t="shared" si="25"/>
        <v>2023-12</v>
      </c>
    </row>
    <row r="830" spans="1:12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f>Table1[[#This Row],[Quantity]]*Table1[[#This Row],[Price per Unit]]</f>
        <v>90</v>
      </c>
      <c r="K830" t="str">
        <f t="shared" si="24"/>
        <v>55+</v>
      </c>
      <c r="L830" t="str">
        <f t="shared" si="25"/>
        <v>2023-07</v>
      </c>
    </row>
    <row r="831" spans="1:12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f>Table1[[#This Row],[Quantity]]*Table1[[#This Row],[Price per Unit]]</f>
        <v>150</v>
      </c>
      <c r="K831" t="str">
        <f t="shared" si="24"/>
        <v>55+</v>
      </c>
      <c r="L831" t="str">
        <f t="shared" si="25"/>
        <v>2023-06</v>
      </c>
    </row>
    <row r="832" spans="1:12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f>Table1[[#This Row],[Quantity]]*Table1[[#This Row],[Price per Unit]]</f>
        <v>100</v>
      </c>
      <c r="K832" t="str">
        <f t="shared" si="24"/>
        <v>25–34</v>
      </c>
      <c r="L832" t="str">
        <f t="shared" si="25"/>
        <v>2023-01</v>
      </c>
    </row>
    <row r="833" spans="1:12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f>Table1[[#This Row],[Quantity]]*Table1[[#This Row],[Price per Unit]]</f>
        <v>2000</v>
      </c>
      <c r="K833" t="str">
        <f t="shared" si="24"/>
        <v>45–54</v>
      </c>
      <c r="L833" t="str">
        <f t="shared" si="25"/>
        <v>2023-09</v>
      </c>
    </row>
    <row r="834" spans="1:12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f>Table1[[#This Row],[Quantity]]*Table1[[#This Row],[Price per Unit]]</f>
        <v>200</v>
      </c>
      <c r="K834" t="str">
        <f t="shared" ref="K834:K897" si="26">IF(E834&lt;25,"Under 25",
IF(E834&lt;35,"25–34",
IF(E834&lt;45,"35–44",
IF(E834&lt;55,"45–54","55+"))))</f>
        <v>35–44</v>
      </c>
      <c r="L834" t="str">
        <f t="shared" ref="L834:L897" si="27">TEXT(B834,"yyyy-mm")</f>
        <v>2023-06</v>
      </c>
    </row>
    <row r="835" spans="1:12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f>Table1[[#This Row],[Quantity]]*Table1[[#This Row],[Price per Unit]]</f>
        <v>60</v>
      </c>
      <c r="K835" t="str">
        <f t="shared" si="26"/>
        <v>55+</v>
      </c>
      <c r="L835" t="str">
        <f t="shared" si="27"/>
        <v>2023-04</v>
      </c>
    </row>
    <row r="836" spans="1:12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f>Table1[[#This Row],[Quantity]]*Table1[[#This Row],[Price per Unit]]</f>
        <v>200</v>
      </c>
      <c r="K836" t="str">
        <f t="shared" si="26"/>
        <v>35–44</v>
      </c>
      <c r="L836" t="str">
        <f t="shared" si="27"/>
        <v>2023-09</v>
      </c>
    </row>
    <row r="837" spans="1:12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f>Table1[[#This Row],[Quantity]]*Table1[[#This Row],[Price per Unit]]</f>
        <v>50</v>
      </c>
      <c r="K837" t="str">
        <f t="shared" si="26"/>
        <v>Under 25</v>
      </c>
      <c r="L837" t="str">
        <f t="shared" si="27"/>
        <v>2023-04</v>
      </c>
    </row>
    <row r="838" spans="1:12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f>Table1[[#This Row],[Quantity]]*Table1[[#This Row],[Price per Unit]]</f>
        <v>90</v>
      </c>
      <c r="K838" t="str">
        <f t="shared" si="26"/>
        <v>Under 25</v>
      </c>
      <c r="L838" t="str">
        <f t="shared" si="27"/>
        <v>2023-07</v>
      </c>
    </row>
    <row r="839" spans="1:12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f>Table1[[#This Row],[Quantity]]*Table1[[#This Row],[Price per Unit]]</f>
        <v>600</v>
      </c>
      <c r="K839" t="str">
        <f t="shared" si="26"/>
        <v>45–54</v>
      </c>
      <c r="L839" t="str">
        <f t="shared" si="27"/>
        <v>2023-05</v>
      </c>
    </row>
    <row r="840" spans="1:12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f>Table1[[#This Row],[Quantity]]*Table1[[#This Row],[Price per Unit]]</f>
        <v>1200</v>
      </c>
      <c r="K840" t="str">
        <f t="shared" si="26"/>
        <v>Under 25</v>
      </c>
      <c r="L840" t="str">
        <f t="shared" si="27"/>
        <v>2023-06</v>
      </c>
    </row>
    <row r="841" spans="1:12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f>Table1[[#This Row],[Quantity]]*Table1[[#This Row],[Price per Unit]]</f>
        <v>50</v>
      </c>
      <c r="K841" t="str">
        <f t="shared" si="26"/>
        <v>55+</v>
      </c>
      <c r="L841" t="str">
        <f t="shared" si="27"/>
        <v>2023-05</v>
      </c>
    </row>
    <row r="842" spans="1:12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f>Table1[[#This Row],[Quantity]]*Table1[[#This Row],[Price per Unit]]</f>
        <v>100</v>
      </c>
      <c r="K842" t="str">
        <f t="shared" si="26"/>
        <v>25–34</v>
      </c>
      <c r="L842" t="str">
        <f t="shared" si="27"/>
        <v>2023-11</v>
      </c>
    </row>
    <row r="843" spans="1:12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f>Table1[[#This Row],[Quantity]]*Table1[[#This Row],[Price per Unit]]</f>
        <v>600</v>
      </c>
      <c r="K843" t="str">
        <f t="shared" si="26"/>
        <v>45–54</v>
      </c>
      <c r="L843" t="str">
        <f t="shared" si="27"/>
        <v>2023-12</v>
      </c>
    </row>
    <row r="844" spans="1:12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f>Table1[[#This Row],[Quantity]]*Table1[[#This Row],[Price per Unit]]</f>
        <v>1500</v>
      </c>
      <c r="K844" t="str">
        <f t="shared" si="26"/>
        <v>Under 25</v>
      </c>
      <c r="L844" t="str">
        <f t="shared" si="27"/>
        <v>2023-05</v>
      </c>
    </row>
    <row r="845" spans="1:12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f>Table1[[#This Row],[Quantity]]*Table1[[#This Row],[Price per Unit]]</f>
        <v>150</v>
      </c>
      <c r="K845" t="str">
        <f t="shared" si="26"/>
        <v>35–44</v>
      </c>
      <c r="L845" t="str">
        <f t="shared" si="27"/>
        <v>2023-10</v>
      </c>
    </row>
    <row r="846" spans="1:12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f>Table1[[#This Row],[Quantity]]*Table1[[#This Row],[Price per Unit]]</f>
        <v>500</v>
      </c>
      <c r="K846" t="str">
        <f t="shared" si="26"/>
        <v>45–54</v>
      </c>
      <c r="L846" t="str">
        <f t="shared" si="27"/>
        <v>2023-01</v>
      </c>
    </row>
    <row r="847" spans="1:12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f>Table1[[#This Row],[Quantity]]*Table1[[#This Row],[Price per Unit]]</f>
        <v>50</v>
      </c>
      <c r="K847" t="str">
        <f t="shared" si="26"/>
        <v>35–44</v>
      </c>
      <c r="L847" t="str">
        <f t="shared" si="27"/>
        <v>2023-09</v>
      </c>
    </row>
    <row r="848" spans="1:12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f>Table1[[#This Row],[Quantity]]*Table1[[#This Row],[Price per Unit]]</f>
        <v>1200</v>
      </c>
      <c r="K848" t="str">
        <f t="shared" si="26"/>
        <v>Under 25</v>
      </c>
      <c r="L848" t="str">
        <f t="shared" si="27"/>
        <v>2023-04</v>
      </c>
    </row>
    <row r="849" spans="1:12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f>Table1[[#This Row],[Quantity]]*Table1[[#This Row],[Price per Unit]]</f>
        <v>75</v>
      </c>
      <c r="K849" t="str">
        <f t="shared" si="26"/>
        <v>55+</v>
      </c>
      <c r="L849" t="str">
        <f t="shared" si="27"/>
        <v>2023-02</v>
      </c>
    </row>
    <row r="850" spans="1:12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f>Table1[[#This Row],[Quantity]]*Table1[[#This Row],[Price per Unit]]</f>
        <v>50</v>
      </c>
      <c r="K850" t="str">
        <f t="shared" si="26"/>
        <v>25–34</v>
      </c>
      <c r="L850" t="str">
        <f t="shared" si="27"/>
        <v>2023-05</v>
      </c>
    </row>
    <row r="851" spans="1:12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f>Table1[[#This Row],[Quantity]]*Table1[[#This Row],[Price per Unit]]</f>
        <v>1000</v>
      </c>
      <c r="K851" t="str">
        <f t="shared" si="26"/>
        <v>25–34</v>
      </c>
      <c r="L851" t="str">
        <f t="shared" si="27"/>
        <v>2023-07</v>
      </c>
    </row>
    <row r="852" spans="1:12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f>Table1[[#This Row],[Quantity]]*Table1[[#This Row],[Price per Unit]]</f>
        <v>50</v>
      </c>
      <c r="K852" t="str">
        <f t="shared" si="26"/>
        <v>25–34</v>
      </c>
      <c r="L852" t="str">
        <f t="shared" si="27"/>
        <v>2023-09</v>
      </c>
    </row>
    <row r="853" spans="1:12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f>Table1[[#This Row],[Quantity]]*Table1[[#This Row],[Price per Unit]]</f>
        <v>300</v>
      </c>
      <c r="K853" t="str">
        <f t="shared" si="26"/>
        <v>35–44</v>
      </c>
      <c r="L853" t="str">
        <f t="shared" si="27"/>
        <v>2023-10</v>
      </c>
    </row>
    <row r="854" spans="1:12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f>Table1[[#This Row],[Quantity]]*Table1[[#This Row],[Price per Unit]]</f>
        <v>1000</v>
      </c>
      <c r="K854" t="str">
        <f t="shared" si="26"/>
        <v>Under 25</v>
      </c>
      <c r="L854" t="str">
        <f t="shared" si="27"/>
        <v>2023-05</v>
      </c>
    </row>
    <row r="855" spans="1:12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f>Table1[[#This Row],[Quantity]]*Table1[[#This Row],[Price per Unit]]</f>
        <v>50</v>
      </c>
      <c r="K855" t="str">
        <f t="shared" si="26"/>
        <v>25–34</v>
      </c>
      <c r="L855" t="str">
        <f t="shared" si="27"/>
        <v>2023-12</v>
      </c>
    </row>
    <row r="856" spans="1:12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f>Table1[[#This Row],[Quantity]]*Table1[[#This Row],[Price per Unit]]</f>
        <v>25</v>
      </c>
      <c r="K856" t="str">
        <f t="shared" si="26"/>
        <v>45–54</v>
      </c>
      <c r="L856" t="str">
        <f t="shared" si="27"/>
        <v>2023-09</v>
      </c>
    </row>
    <row r="857" spans="1:12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f>Table1[[#This Row],[Quantity]]*Table1[[#This Row],[Price per Unit]]</f>
        <v>120</v>
      </c>
      <c r="K857" t="str">
        <f t="shared" si="26"/>
        <v>45–54</v>
      </c>
      <c r="L857" t="str">
        <f t="shared" si="27"/>
        <v>2023-11</v>
      </c>
    </row>
    <row r="858" spans="1:12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f>Table1[[#This Row],[Quantity]]*Table1[[#This Row],[Price per Unit]]</f>
        <v>50</v>
      </c>
      <c r="K858" t="str">
        <f t="shared" si="26"/>
        <v>55+</v>
      </c>
      <c r="L858" t="str">
        <f t="shared" si="27"/>
        <v>2023-12</v>
      </c>
    </row>
    <row r="859" spans="1:12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f>Table1[[#This Row],[Quantity]]*Table1[[#This Row],[Price per Unit]]</f>
        <v>100</v>
      </c>
      <c r="K859" t="str">
        <f t="shared" si="26"/>
        <v>Under 25</v>
      </c>
      <c r="L859" t="str">
        <f t="shared" si="27"/>
        <v>2023-09</v>
      </c>
    </row>
    <row r="860" spans="1:12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f>Table1[[#This Row],[Quantity]]*Table1[[#This Row],[Price per Unit]]</f>
        <v>1500</v>
      </c>
      <c r="K860" t="str">
        <f t="shared" si="26"/>
        <v>55+</v>
      </c>
      <c r="L860" t="str">
        <f t="shared" si="27"/>
        <v>2023-08</v>
      </c>
    </row>
    <row r="861" spans="1:12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f>Table1[[#This Row],[Quantity]]*Table1[[#This Row],[Price per Unit]]</f>
        <v>200</v>
      </c>
      <c r="K861" t="str">
        <f t="shared" si="26"/>
        <v>55+</v>
      </c>
      <c r="L861" t="str">
        <f t="shared" si="27"/>
        <v>2023-01</v>
      </c>
    </row>
    <row r="862" spans="1:12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f>Table1[[#This Row],[Quantity]]*Table1[[#This Row],[Price per Unit]]</f>
        <v>90</v>
      </c>
      <c r="K862" t="str">
        <f t="shared" si="26"/>
        <v>35–44</v>
      </c>
      <c r="L862" t="str">
        <f t="shared" si="27"/>
        <v>2023-02</v>
      </c>
    </row>
    <row r="863" spans="1:12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f>Table1[[#This Row],[Quantity]]*Table1[[#This Row],[Price per Unit]]</f>
        <v>1200</v>
      </c>
      <c r="K863" t="str">
        <f t="shared" si="26"/>
        <v>25–34</v>
      </c>
      <c r="L863" t="str">
        <f t="shared" si="27"/>
        <v>2023-05</v>
      </c>
    </row>
    <row r="864" spans="1:12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f>Table1[[#This Row],[Quantity]]*Table1[[#This Row],[Price per Unit]]</f>
        <v>50</v>
      </c>
      <c r="K864" t="str">
        <f t="shared" si="26"/>
        <v>25–34</v>
      </c>
      <c r="L864" t="str">
        <f t="shared" si="27"/>
        <v>2023-04</v>
      </c>
    </row>
    <row r="865" spans="1:12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f>Table1[[#This Row],[Quantity]]*Table1[[#This Row],[Price per Unit]]</f>
        <v>500</v>
      </c>
      <c r="K865" t="str">
        <f t="shared" si="26"/>
        <v>45–54</v>
      </c>
      <c r="L865" t="str">
        <f t="shared" si="27"/>
        <v>2023-07</v>
      </c>
    </row>
    <row r="866" spans="1:12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f>Table1[[#This Row],[Quantity]]*Table1[[#This Row],[Price per Unit]]</f>
        <v>300</v>
      </c>
      <c r="K866" t="str">
        <f t="shared" si="26"/>
        <v>35–44</v>
      </c>
      <c r="L866" t="str">
        <f t="shared" si="27"/>
        <v>2023-12</v>
      </c>
    </row>
    <row r="867" spans="1:12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f>Table1[[#This Row],[Quantity]]*Table1[[#This Row],[Price per Unit]]</f>
        <v>50</v>
      </c>
      <c r="K867" t="str">
        <f t="shared" si="26"/>
        <v>Under 25</v>
      </c>
      <c r="L867" t="str">
        <f t="shared" si="27"/>
        <v>2023-05</v>
      </c>
    </row>
    <row r="868" spans="1:12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f>Table1[[#This Row],[Quantity]]*Table1[[#This Row],[Price per Unit]]</f>
        <v>500</v>
      </c>
      <c r="K868" t="str">
        <f t="shared" si="26"/>
        <v>Under 25</v>
      </c>
      <c r="L868" t="str">
        <f t="shared" si="27"/>
        <v>2023-06</v>
      </c>
    </row>
    <row r="869" spans="1:12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f>Table1[[#This Row],[Quantity]]*Table1[[#This Row],[Price per Unit]]</f>
        <v>300</v>
      </c>
      <c r="K869" t="str">
        <f t="shared" si="26"/>
        <v>25–34</v>
      </c>
      <c r="L869" t="str">
        <f t="shared" si="27"/>
        <v>2023-12</v>
      </c>
    </row>
    <row r="870" spans="1:12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f>Table1[[#This Row],[Quantity]]*Table1[[#This Row],[Price per Unit]]</f>
        <v>1500</v>
      </c>
      <c r="K870" t="str">
        <f t="shared" si="26"/>
        <v>35–44</v>
      </c>
      <c r="L870" t="str">
        <f t="shared" si="27"/>
        <v>2023-10</v>
      </c>
    </row>
    <row r="871" spans="1:12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f>Table1[[#This Row],[Quantity]]*Table1[[#This Row],[Price per Unit]]</f>
        <v>120</v>
      </c>
      <c r="K871" t="str">
        <f t="shared" si="26"/>
        <v>45–54</v>
      </c>
      <c r="L871" t="str">
        <f t="shared" si="27"/>
        <v>2023-07</v>
      </c>
    </row>
    <row r="872" spans="1:12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f>Table1[[#This Row],[Quantity]]*Table1[[#This Row],[Price per Unit]]</f>
        <v>60</v>
      </c>
      <c r="K872" t="str">
        <f t="shared" si="26"/>
        <v>55+</v>
      </c>
      <c r="L872" t="str">
        <f t="shared" si="27"/>
        <v>2023-08</v>
      </c>
    </row>
    <row r="873" spans="1:12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f>Table1[[#This Row],[Quantity]]*Table1[[#This Row],[Price per Unit]]</f>
        <v>75</v>
      </c>
      <c r="K873" t="str">
        <f t="shared" si="26"/>
        <v>55+</v>
      </c>
      <c r="L873" t="str">
        <f t="shared" si="27"/>
        <v>2023-10</v>
      </c>
    </row>
    <row r="874" spans="1:12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f>Table1[[#This Row],[Quantity]]*Table1[[#This Row],[Price per Unit]]</f>
        <v>100</v>
      </c>
      <c r="K874" t="str">
        <f t="shared" si="26"/>
        <v>25–34</v>
      </c>
      <c r="L874" t="str">
        <f t="shared" si="27"/>
        <v>2023-09</v>
      </c>
    </row>
    <row r="875" spans="1:12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f>Table1[[#This Row],[Quantity]]*Table1[[#This Row],[Price per Unit]]</f>
        <v>30</v>
      </c>
      <c r="K875" t="str">
        <f t="shared" si="26"/>
        <v>55+</v>
      </c>
      <c r="L875" t="str">
        <f t="shared" si="27"/>
        <v>2023-06</v>
      </c>
    </row>
    <row r="876" spans="1:12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f>Table1[[#This Row],[Quantity]]*Table1[[#This Row],[Price per Unit]]</f>
        <v>2000</v>
      </c>
      <c r="K876" t="str">
        <f t="shared" si="26"/>
        <v>45–54</v>
      </c>
      <c r="L876" t="str">
        <f t="shared" si="27"/>
        <v>2023-08</v>
      </c>
    </row>
    <row r="877" spans="1:12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f>Table1[[#This Row],[Quantity]]*Table1[[#This Row],[Price per Unit]]</f>
        <v>120</v>
      </c>
      <c r="K877" t="str">
        <f t="shared" si="26"/>
        <v>35–44</v>
      </c>
      <c r="L877" t="str">
        <f t="shared" si="27"/>
        <v>2023-10</v>
      </c>
    </row>
    <row r="878" spans="1:12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f>Table1[[#This Row],[Quantity]]*Table1[[#This Row],[Price per Unit]]</f>
        <v>25</v>
      </c>
      <c r="K878" t="str">
        <f t="shared" si="26"/>
        <v>55+</v>
      </c>
      <c r="L878" t="str">
        <f t="shared" si="27"/>
        <v>2023-06</v>
      </c>
    </row>
    <row r="879" spans="1:12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f>Table1[[#This Row],[Quantity]]*Table1[[#This Row],[Price per Unit]]</f>
        <v>30</v>
      </c>
      <c r="K879" t="str">
        <f t="shared" si="26"/>
        <v>Under 25</v>
      </c>
      <c r="L879" t="str">
        <f t="shared" si="27"/>
        <v>2023-06</v>
      </c>
    </row>
    <row r="880" spans="1:12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f>Table1[[#This Row],[Quantity]]*Table1[[#This Row],[Price per Unit]]</f>
        <v>30</v>
      </c>
      <c r="K880" t="str">
        <f t="shared" si="26"/>
        <v>Under 25</v>
      </c>
      <c r="L880" t="str">
        <f t="shared" si="27"/>
        <v>2023-12</v>
      </c>
    </row>
    <row r="881" spans="1:12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f>Table1[[#This Row],[Quantity]]*Table1[[#This Row],[Price per Unit]]</f>
        <v>1000</v>
      </c>
      <c r="K881" t="str">
        <f t="shared" si="26"/>
        <v>Under 25</v>
      </c>
      <c r="L881" t="str">
        <f t="shared" si="27"/>
        <v>2023-08</v>
      </c>
    </row>
    <row r="882" spans="1:12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f>Table1[[#This Row],[Quantity]]*Table1[[#This Row],[Price per Unit]]</f>
        <v>300</v>
      </c>
      <c r="K882" t="str">
        <f t="shared" si="26"/>
        <v>Under 25</v>
      </c>
      <c r="L882" t="str">
        <f t="shared" si="27"/>
        <v>2023-05</v>
      </c>
    </row>
    <row r="883" spans="1:12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f>Table1[[#This Row],[Quantity]]*Table1[[#This Row],[Price per Unit]]</f>
        <v>50</v>
      </c>
      <c r="K883" t="str">
        <f t="shared" si="26"/>
        <v>55+</v>
      </c>
      <c r="L883" t="str">
        <f t="shared" si="27"/>
        <v>2023-06</v>
      </c>
    </row>
    <row r="884" spans="1:12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f>Table1[[#This Row],[Quantity]]*Table1[[#This Row],[Price per Unit]]</f>
        <v>500</v>
      </c>
      <c r="K884" t="str">
        <f t="shared" si="26"/>
        <v>35–44</v>
      </c>
      <c r="L884" t="str">
        <f t="shared" si="27"/>
        <v>2023-05</v>
      </c>
    </row>
    <row r="885" spans="1:12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f>Table1[[#This Row],[Quantity]]*Table1[[#This Row],[Price per Unit]]</f>
        <v>60</v>
      </c>
      <c r="K885" t="str">
        <f t="shared" si="26"/>
        <v>25–34</v>
      </c>
      <c r="L885" t="str">
        <f t="shared" si="27"/>
        <v>2023-04</v>
      </c>
    </row>
    <row r="886" spans="1:12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f>Table1[[#This Row],[Quantity]]*Table1[[#This Row],[Price per Unit]]</f>
        <v>120</v>
      </c>
      <c r="K886" t="str">
        <f t="shared" si="26"/>
        <v>45–54</v>
      </c>
      <c r="L886" t="str">
        <f t="shared" si="27"/>
        <v>2023-03</v>
      </c>
    </row>
    <row r="887" spans="1:12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f>Table1[[#This Row],[Quantity]]*Table1[[#This Row],[Price per Unit]]</f>
        <v>900</v>
      </c>
      <c r="K887" t="str">
        <f t="shared" si="26"/>
        <v>35–44</v>
      </c>
      <c r="L887" t="str">
        <f t="shared" si="27"/>
        <v>2023-04</v>
      </c>
    </row>
    <row r="888" spans="1:12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f>Table1[[#This Row],[Quantity]]*Table1[[#This Row],[Price per Unit]]</f>
        <v>100</v>
      </c>
      <c r="K888" t="str">
        <f t="shared" si="26"/>
        <v>55+</v>
      </c>
      <c r="L888" t="str">
        <f t="shared" si="27"/>
        <v>2023-06</v>
      </c>
    </row>
    <row r="889" spans="1:12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f>Table1[[#This Row],[Quantity]]*Table1[[#This Row],[Price per Unit]]</f>
        <v>100</v>
      </c>
      <c r="K889" t="str">
        <f t="shared" si="26"/>
        <v>45–54</v>
      </c>
      <c r="L889" t="str">
        <f t="shared" si="27"/>
        <v>2023-03</v>
      </c>
    </row>
    <row r="890" spans="1:12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f>Table1[[#This Row],[Quantity]]*Table1[[#This Row],[Price per Unit]]</f>
        <v>50</v>
      </c>
      <c r="K890" t="str">
        <f t="shared" si="26"/>
        <v>35–44</v>
      </c>
      <c r="L890" t="str">
        <f t="shared" si="27"/>
        <v>2023-10</v>
      </c>
    </row>
    <row r="891" spans="1:12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f>Table1[[#This Row],[Quantity]]*Table1[[#This Row],[Price per Unit]]</f>
        <v>50</v>
      </c>
      <c r="K891" t="str">
        <f t="shared" si="26"/>
        <v>25–34</v>
      </c>
      <c r="L891" t="str">
        <f t="shared" si="27"/>
        <v>2023-12</v>
      </c>
    </row>
    <row r="892" spans="1:12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f>Table1[[#This Row],[Quantity]]*Table1[[#This Row],[Price per Unit]]</f>
        <v>900</v>
      </c>
      <c r="K892" t="str">
        <f t="shared" si="26"/>
        <v>35–44</v>
      </c>
      <c r="L892" t="str">
        <f t="shared" si="27"/>
        <v>2023-04</v>
      </c>
    </row>
    <row r="893" spans="1:12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f>Table1[[#This Row],[Quantity]]*Table1[[#This Row],[Price per Unit]]</f>
        <v>50</v>
      </c>
      <c r="K893" t="str">
        <f t="shared" si="26"/>
        <v>Under 25</v>
      </c>
      <c r="L893" t="str">
        <f t="shared" si="27"/>
        <v>2023-04</v>
      </c>
    </row>
    <row r="894" spans="1:12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f>Table1[[#This Row],[Quantity]]*Table1[[#This Row],[Price per Unit]]</f>
        <v>50</v>
      </c>
      <c r="K894" t="str">
        <f t="shared" si="26"/>
        <v>45–54</v>
      </c>
      <c r="L894" t="str">
        <f t="shared" si="27"/>
        <v>2023-04</v>
      </c>
    </row>
    <row r="895" spans="1:12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f>Table1[[#This Row],[Quantity]]*Table1[[#This Row],[Price per Unit]]</f>
        <v>30</v>
      </c>
      <c r="K895" t="str">
        <f t="shared" si="26"/>
        <v>45–54</v>
      </c>
      <c r="L895" t="str">
        <f t="shared" si="27"/>
        <v>2023-09</v>
      </c>
    </row>
    <row r="896" spans="1:12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f>Table1[[#This Row],[Quantity]]*Table1[[#This Row],[Price per Unit]]</f>
        <v>120</v>
      </c>
      <c r="K896" t="str">
        <f t="shared" si="26"/>
        <v>55+</v>
      </c>
      <c r="L896" t="str">
        <f t="shared" si="27"/>
        <v>2023-05</v>
      </c>
    </row>
    <row r="897" spans="1:12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f>Table1[[#This Row],[Quantity]]*Table1[[#This Row],[Price per Unit]]</f>
        <v>50</v>
      </c>
      <c r="K897" t="str">
        <f t="shared" si="26"/>
        <v>25–34</v>
      </c>
      <c r="L897" t="str">
        <f t="shared" si="27"/>
        <v>2023-10</v>
      </c>
    </row>
    <row r="898" spans="1:12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f>Table1[[#This Row],[Quantity]]*Table1[[#This Row],[Price per Unit]]</f>
        <v>100</v>
      </c>
      <c r="K898" t="str">
        <f t="shared" ref="K898:K961" si="28">IF(E898&lt;25,"Under 25",
IF(E898&lt;35,"25–34",
IF(E898&lt;45,"35–44",
IF(E898&lt;55,"45–54","55+"))))</f>
        <v>55+</v>
      </c>
      <c r="L898" t="str">
        <f t="shared" ref="L898:L961" si="29">TEXT(B898,"yyyy-mm")</f>
        <v>2023-09</v>
      </c>
    </row>
    <row r="899" spans="1:12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f>Table1[[#This Row],[Quantity]]*Table1[[#This Row],[Price per Unit]]</f>
        <v>90</v>
      </c>
      <c r="K899" t="str">
        <f t="shared" si="28"/>
        <v>35–44</v>
      </c>
      <c r="L899" t="str">
        <f t="shared" si="29"/>
        <v>2023-11</v>
      </c>
    </row>
    <row r="900" spans="1:12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f>Table1[[#This Row],[Quantity]]*Table1[[#This Row],[Price per Unit]]</f>
        <v>600</v>
      </c>
      <c r="K900" t="str">
        <f t="shared" si="28"/>
        <v>25–34</v>
      </c>
      <c r="L900" t="str">
        <f t="shared" si="29"/>
        <v>2023-05</v>
      </c>
    </row>
    <row r="901" spans="1:12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f>Table1[[#This Row],[Quantity]]*Table1[[#This Row],[Price per Unit]]</f>
        <v>60</v>
      </c>
      <c r="K901" t="str">
        <f t="shared" si="28"/>
        <v>Under 25</v>
      </c>
      <c r="L901" t="str">
        <f t="shared" si="29"/>
        <v>2023-02</v>
      </c>
    </row>
    <row r="902" spans="1:12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f>Table1[[#This Row],[Quantity]]*Table1[[#This Row],[Price per Unit]]</f>
        <v>30</v>
      </c>
      <c r="K902" t="str">
        <f t="shared" si="28"/>
        <v>25–34</v>
      </c>
      <c r="L902" t="str">
        <f t="shared" si="29"/>
        <v>2023-04</v>
      </c>
    </row>
    <row r="903" spans="1:12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f>Table1[[#This Row],[Quantity]]*Table1[[#This Row],[Price per Unit]]</f>
        <v>50</v>
      </c>
      <c r="K903" t="str">
        <f t="shared" si="28"/>
        <v>45–54</v>
      </c>
      <c r="L903" t="str">
        <f t="shared" si="29"/>
        <v>2023-06</v>
      </c>
    </row>
    <row r="904" spans="1:12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f>Table1[[#This Row],[Quantity]]*Table1[[#This Row],[Price per Unit]]</f>
        <v>200</v>
      </c>
      <c r="K904" t="str">
        <f t="shared" si="28"/>
        <v>45–54</v>
      </c>
      <c r="L904" t="str">
        <f t="shared" si="29"/>
        <v>2023-04</v>
      </c>
    </row>
    <row r="905" spans="1:12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f>Table1[[#This Row],[Quantity]]*Table1[[#This Row],[Price per Unit]]</f>
        <v>500</v>
      </c>
      <c r="K905" t="str">
        <f t="shared" si="28"/>
        <v>25–34</v>
      </c>
      <c r="L905" t="str">
        <f t="shared" si="29"/>
        <v>2023-07</v>
      </c>
    </row>
    <row r="906" spans="1:12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f>Table1[[#This Row],[Quantity]]*Table1[[#This Row],[Price per Unit]]</f>
        <v>300</v>
      </c>
      <c r="K906" t="str">
        <f t="shared" si="28"/>
        <v>55+</v>
      </c>
      <c r="L906" t="str">
        <f t="shared" si="29"/>
        <v>2023-04</v>
      </c>
    </row>
    <row r="907" spans="1:12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f>Table1[[#This Row],[Quantity]]*Table1[[#This Row],[Price per Unit]]</f>
        <v>50</v>
      </c>
      <c r="K907" t="str">
        <f t="shared" si="28"/>
        <v>Under 25</v>
      </c>
      <c r="L907" t="str">
        <f t="shared" si="29"/>
        <v>2023-06</v>
      </c>
    </row>
    <row r="908" spans="1:12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f>Table1[[#This Row],[Quantity]]*Table1[[#This Row],[Price per Unit]]</f>
        <v>25</v>
      </c>
      <c r="K908" t="str">
        <f t="shared" si="28"/>
        <v>45–54</v>
      </c>
      <c r="L908" t="str">
        <f t="shared" si="29"/>
        <v>2023-01</v>
      </c>
    </row>
    <row r="909" spans="1:12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f>Table1[[#This Row],[Quantity]]*Table1[[#This Row],[Price per Unit]]</f>
        <v>1200</v>
      </c>
      <c r="K909" t="str">
        <f t="shared" si="28"/>
        <v>45–54</v>
      </c>
      <c r="L909" t="str">
        <f t="shared" si="29"/>
        <v>2023-12</v>
      </c>
    </row>
    <row r="910" spans="1:12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f>Table1[[#This Row],[Quantity]]*Table1[[#This Row],[Price per Unit]]</f>
        <v>300</v>
      </c>
      <c r="K910" t="str">
        <f t="shared" si="28"/>
        <v>25–34</v>
      </c>
      <c r="L910" t="str">
        <f t="shared" si="29"/>
        <v>2023-10</v>
      </c>
    </row>
    <row r="911" spans="1:12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f>Table1[[#This Row],[Quantity]]*Table1[[#This Row],[Price per Unit]]</f>
        <v>150</v>
      </c>
      <c r="K911" t="str">
        <f t="shared" si="28"/>
        <v>Under 25</v>
      </c>
      <c r="L911" t="str">
        <f t="shared" si="29"/>
        <v>2023-03</v>
      </c>
    </row>
    <row r="912" spans="1:12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f>Table1[[#This Row],[Quantity]]*Table1[[#This Row],[Price per Unit]]</f>
        <v>900</v>
      </c>
      <c r="K912" t="str">
        <f t="shared" si="28"/>
        <v>35–44</v>
      </c>
      <c r="L912" t="str">
        <f t="shared" si="29"/>
        <v>2023-05</v>
      </c>
    </row>
    <row r="913" spans="1:12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f>Table1[[#This Row],[Quantity]]*Table1[[#This Row],[Price per Unit]]</f>
        <v>150</v>
      </c>
      <c r="K913" t="str">
        <f t="shared" si="28"/>
        <v>45–54</v>
      </c>
      <c r="L913" t="str">
        <f t="shared" si="29"/>
        <v>2023-01</v>
      </c>
    </row>
    <row r="914" spans="1:12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f>Table1[[#This Row],[Quantity]]*Table1[[#This Row],[Price per Unit]]</f>
        <v>90</v>
      </c>
      <c r="K914" t="str">
        <f t="shared" si="28"/>
        <v>25–34</v>
      </c>
      <c r="L914" t="str">
        <f t="shared" si="29"/>
        <v>2023-01</v>
      </c>
    </row>
    <row r="915" spans="1:12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f>Table1[[#This Row],[Quantity]]*Table1[[#This Row],[Price per Unit]]</f>
        <v>500</v>
      </c>
      <c r="K915" t="str">
        <f t="shared" si="28"/>
        <v>55+</v>
      </c>
      <c r="L915" t="str">
        <f t="shared" si="29"/>
        <v>2023-10</v>
      </c>
    </row>
    <row r="916" spans="1:12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f>Table1[[#This Row],[Quantity]]*Table1[[#This Row],[Price per Unit]]</f>
        <v>90</v>
      </c>
      <c r="K916" t="str">
        <f t="shared" si="28"/>
        <v>25–34</v>
      </c>
      <c r="L916" t="str">
        <f t="shared" si="29"/>
        <v>2023-05</v>
      </c>
    </row>
    <row r="917" spans="1:12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f>Table1[[#This Row],[Quantity]]*Table1[[#This Row],[Price per Unit]]</f>
        <v>50</v>
      </c>
      <c r="K917" t="str">
        <f t="shared" si="28"/>
        <v>25–34</v>
      </c>
      <c r="L917" t="str">
        <f t="shared" si="29"/>
        <v>2023-12</v>
      </c>
    </row>
    <row r="918" spans="1:12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f>Table1[[#This Row],[Quantity]]*Table1[[#This Row],[Price per Unit]]</f>
        <v>200</v>
      </c>
      <c r="K918" t="str">
        <f t="shared" si="28"/>
        <v>55+</v>
      </c>
      <c r="L918" t="str">
        <f t="shared" si="29"/>
        <v>2023-03</v>
      </c>
    </row>
    <row r="919" spans="1:12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f>Table1[[#This Row],[Quantity]]*Table1[[#This Row],[Price per Unit]]</f>
        <v>90</v>
      </c>
      <c r="K919" t="str">
        <f t="shared" si="28"/>
        <v>35–44</v>
      </c>
      <c r="L919" t="str">
        <f t="shared" si="29"/>
        <v>2023-11</v>
      </c>
    </row>
    <row r="920" spans="1:12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f>Table1[[#This Row],[Quantity]]*Table1[[#This Row],[Price per Unit]]</f>
        <v>50</v>
      </c>
      <c r="K920" t="str">
        <f t="shared" si="28"/>
        <v>Under 25</v>
      </c>
      <c r="L920" t="str">
        <f t="shared" si="29"/>
        <v>2023-09</v>
      </c>
    </row>
    <row r="921" spans="1:12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f>Table1[[#This Row],[Quantity]]*Table1[[#This Row],[Price per Unit]]</f>
        <v>75</v>
      </c>
      <c r="K921" t="str">
        <f t="shared" si="28"/>
        <v>25–34</v>
      </c>
      <c r="L921" t="str">
        <f t="shared" si="29"/>
        <v>2023-02</v>
      </c>
    </row>
    <row r="922" spans="1:12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f>Table1[[#This Row],[Quantity]]*Table1[[#This Row],[Price per Unit]]</f>
        <v>75</v>
      </c>
      <c r="K922" t="str">
        <f t="shared" si="28"/>
        <v>45–54</v>
      </c>
      <c r="L922" t="str">
        <f t="shared" si="29"/>
        <v>2023-01</v>
      </c>
    </row>
    <row r="923" spans="1:12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f>Table1[[#This Row],[Quantity]]*Table1[[#This Row],[Price per Unit]]</f>
        <v>50</v>
      </c>
      <c r="K923" t="str">
        <f t="shared" si="28"/>
        <v>35–44</v>
      </c>
      <c r="L923" t="str">
        <f t="shared" si="29"/>
        <v>2023-10</v>
      </c>
    </row>
    <row r="924" spans="1:12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f>Table1[[#This Row],[Quantity]]*Table1[[#This Row],[Price per Unit]]</f>
        <v>900</v>
      </c>
      <c r="K924" t="str">
        <f t="shared" si="28"/>
        <v>25–34</v>
      </c>
      <c r="L924" t="str">
        <f t="shared" si="29"/>
        <v>2023-05</v>
      </c>
    </row>
    <row r="925" spans="1:12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f>Table1[[#This Row],[Quantity]]*Table1[[#This Row],[Price per Unit]]</f>
        <v>100</v>
      </c>
      <c r="K925" t="str">
        <f t="shared" si="28"/>
        <v>55+</v>
      </c>
      <c r="L925" t="str">
        <f t="shared" si="29"/>
        <v>2023-08</v>
      </c>
    </row>
    <row r="926" spans="1:12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f>Table1[[#This Row],[Quantity]]*Table1[[#This Row],[Price per Unit]]</f>
        <v>300</v>
      </c>
      <c r="K926" t="str">
        <f t="shared" si="28"/>
        <v>25–34</v>
      </c>
      <c r="L926" t="str">
        <f t="shared" si="29"/>
        <v>2023-09</v>
      </c>
    </row>
    <row r="927" spans="1:12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f>Table1[[#This Row],[Quantity]]*Table1[[#This Row],[Price per Unit]]</f>
        <v>30</v>
      </c>
      <c r="K927" t="str">
        <f t="shared" si="28"/>
        <v>Under 25</v>
      </c>
      <c r="L927" t="str">
        <f t="shared" si="29"/>
        <v>2023-08</v>
      </c>
    </row>
    <row r="928" spans="1:12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f>Table1[[#This Row],[Quantity]]*Table1[[#This Row],[Price per Unit]]</f>
        <v>2000</v>
      </c>
      <c r="K928" t="str">
        <f t="shared" si="28"/>
        <v>35–44</v>
      </c>
      <c r="L928" t="str">
        <f t="shared" si="29"/>
        <v>2023-06</v>
      </c>
    </row>
    <row r="929" spans="1:12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f>Table1[[#This Row],[Quantity]]*Table1[[#This Row],[Price per Unit]]</f>
        <v>1200</v>
      </c>
      <c r="K929" t="str">
        <f t="shared" si="28"/>
        <v>35–44</v>
      </c>
      <c r="L929" t="str">
        <f t="shared" si="29"/>
        <v>2023-04</v>
      </c>
    </row>
    <row r="930" spans="1:12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f>Table1[[#This Row],[Quantity]]*Table1[[#This Row],[Price per Unit]]</f>
        <v>75</v>
      </c>
      <c r="K930" t="str">
        <f t="shared" si="28"/>
        <v>Under 25</v>
      </c>
      <c r="L930" t="str">
        <f t="shared" si="29"/>
        <v>2023-01</v>
      </c>
    </row>
    <row r="931" spans="1:12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f>Table1[[#This Row],[Quantity]]*Table1[[#This Row],[Price per Unit]]</f>
        <v>200</v>
      </c>
      <c r="K931" t="str">
        <f t="shared" si="28"/>
        <v>45–54</v>
      </c>
      <c r="L931" t="str">
        <f t="shared" si="29"/>
        <v>2023-05</v>
      </c>
    </row>
    <row r="932" spans="1:12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f>Table1[[#This Row],[Quantity]]*Table1[[#This Row],[Price per Unit]]</f>
        <v>120</v>
      </c>
      <c r="K932" t="str">
        <f t="shared" si="28"/>
        <v>25–34</v>
      </c>
      <c r="L932" t="str">
        <f t="shared" si="29"/>
        <v>2023-09</v>
      </c>
    </row>
    <row r="933" spans="1:12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f>Table1[[#This Row],[Quantity]]*Table1[[#This Row],[Price per Unit]]</f>
        <v>100</v>
      </c>
      <c r="K933" t="str">
        <f t="shared" si="28"/>
        <v>45–54</v>
      </c>
      <c r="L933" t="str">
        <f t="shared" si="29"/>
        <v>2023-02</v>
      </c>
    </row>
    <row r="934" spans="1:12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f>Table1[[#This Row],[Quantity]]*Table1[[#This Row],[Price per Unit]]</f>
        <v>30</v>
      </c>
      <c r="K934" t="str">
        <f t="shared" si="28"/>
        <v>Under 25</v>
      </c>
      <c r="L934" t="str">
        <f t="shared" si="29"/>
        <v>2023-02</v>
      </c>
    </row>
    <row r="935" spans="1:12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f>Table1[[#This Row],[Quantity]]*Table1[[#This Row],[Price per Unit]]</f>
        <v>500</v>
      </c>
      <c r="K935" t="str">
        <f t="shared" si="28"/>
        <v>25–34</v>
      </c>
      <c r="L935" t="str">
        <f t="shared" si="29"/>
        <v>2023-07</v>
      </c>
    </row>
    <row r="936" spans="1:12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f>Table1[[#This Row],[Quantity]]*Table1[[#This Row],[Price per Unit]]</f>
        <v>50</v>
      </c>
      <c r="K936" t="str">
        <f t="shared" si="28"/>
        <v>25–34</v>
      </c>
      <c r="L936" t="str">
        <f t="shared" si="29"/>
        <v>2023-09</v>
      </c>
    </row>
    <row r="937" spans="1:12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f>Table1[[#This Row],[Quantity]]*Table1[[#This Row],[Price per Unit]]</f>
        <v>200</v>
      </c>
      <c r="K937" t="str">
        <f t="shared" si="28"/>
        <v>55+</v>
      </c>
      <c r="L937" t="str">
        <f t="shared" si="29"/>
        <v>2023-02</v>
      </c>
    </row>
    <row r="938" spans="1:12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f>Table1[[#This Row],[Quantity]]*Table1[[#This Row],[Price per Unit]]</f>
        <v>500</v>
      </c>
      <c r="K938" t="str">
        <f t="shared" si="28"/>
        <v>55+</v>
      </c>
      <c r="L938" t="str">
        <f t="shared" si="29"/>
        <v>2023-10</v>
      </c>
    </row>
    <row r="939" spans="1:12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f>Table1[[#This Row],[Quantity]]*Table1[[#This Row],[Price per Unit]]</f>
        <v>200</v>
      </c>
      <c r="K939" t="str">
        <f t="shared" si="28"/>
        <v>45–54</v>
      </c>
      <c r="L939" t="str">
        <f t="shared" si="29"/>
        <v>2023-11</v>
      </c>
    </row>
    <row r="940" spans="1:12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f>Table1[[#This Row],[Quantity]]*Table1[[#This Row],[Price per Unit]]</f>
        <v>300</v>
      </c>
      <c r="K940" t="str">
        <f t="shared" si="28"/>
        <v>45–54</v>
      </c>
      <c r="L940" t="str">
        <f t="shared" si="29"/>
        <v>2023-12</v>
      </c>
    </row>
    <row r="941" spans="1:12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f>Table1[[#This Row],[Quantity]]*Table1[[#This Row],[Price per Unit]]</f>
        <v>30</v>
      </c>
      <c r="K941" t="str">
        <f t="shared" si="28"/>
        <v>Under 25</v>
      </c>
      <c r="L941" t="str">
        <f t="shared" si="29"/>
        <v>2023-01</v>
      </c>
    </row>
    <row r="942" spans="1:12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f>Table1[[#This Row],[Quantity]]*Table1[[#This Row],[Price per Unit]]</f>
        <v>50</v>
      </c>
      <c r="K942" t="str">
        <f t="shared" si="28"/>
        <v>55+</v>
      </c>
      <c r="L942" t="str">
        <f t="shared" si="29"/>
        <v>2023-03</v>
      </c>
    </row>
    <row r="943" spans="1:12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f>Table1[[#This Row],[Quantity]]*Table1[[#This Row],[Price per Unit]]</f>
        <v>1500</v>
      </c>
      <c r="K943" t="str">
        <f t="shared" si="28"/>
        <v>45–54</v>
      </c>
      <c r="L943" t="str">
        <f t="shared" si="29"/>
        <v>2023-03</v>
      </c>
    </row>
    <row r="944" spans="1:12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f>Table1[[#This Row],[Quantity]]*Table1[[#This Row],[Price per Unit]]</f>
        <v>1200</v>
      </c>
      <c r="K944" t="str">
        <f t="shared" si="28"/>
        <v>55+</v>
      </c>
      <c r="L944" t="str">
        <f t="shared" si="29"/>
        <v>2023-10</v>
      </c>
    </row>
    <row r="945" spans="1:12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f>Table1[[#This Row],[Quantity]]*Table1[[#This Row],[Price per Unit]]</f>
        <v>50</v>
      </c>
      <c r="K945" t="str">
        <f t="shared" si="28"/>
        <v>35–44</v>
      </c>
      <c r="L945" t="str">
        <f t="shared" si="29"/>
        <v>2023-06</v>
      </c>
    </row>
    <row r="946" spans="1:12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f>Table1[[#This Row],[Quantity]]*Table1[[#This Row],[Price per Unit]]</f>
        <v>25</v>
      </c>
      <c r="K946" t="str">
        <f t="shared" si="28"/>
        <v>25–34</v>
      </c>
      <c r="L946" t="str">
        <f t="shared" si="29"/>
        <v>2023-02</v>
      </c>
    </row>
    <row r="947" spans="1:12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f>Table1[[#This Row],[Quantity]]*Table1[[#This Row],[Price per Unit]]</f>
        <v>2000</v>
      </c>
      <c r="K947" t="str">
        <f t="shared" si="28"/>
        <v>55+</v>
      </c>
      <c r="L947" t="str">
        <f t="shared" si="29"/>
        <v>2023-05</v>
      </c>
    </row>
    <row r="948" spans="1:12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f>Table1[[#This Row],[Quantity]]*Table1[[#This Row],[Price per Unit]]</f>
        <v>300</v>
      </c>
      <c r="K948" t="str">
        <f t="shared" si="28"/>
        <v>45–54</v>
      </c>
      <c r="L948" t="str">
        <f t="shared" si="29"/>
        <v>2023-03</v>
      </c>
    </row>
    <row r="949" spans="1:12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f>Table1[[#This Row],[Quantity]]*Table1[[#This Row],[Price per Unit]]</f>
        <v>75</v>
      </c>
      <c r="K949" t="str">
        <f t="shared" si="28"/>
        <v>Under 25</v>
      </c>
      <c r="L949" t="str">
        <f t="shared" si="29"/>
        <v>2023-10</v>
      </c>
    </row>
    <row r="950" spans="1:12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f>Table1[[#This Row],[Quantity]]*Table1[[#This Row],[Price per Unit]]</f>
        <v>50</v>
      </c>
      <c r="K950" t="str">
        <f t="shared" si="28"/>
        <v>35–44</v>
      </c>
      <c r="L950" t="str">
        <f t="shared" si="29"/>
        <v>2023-08</v>
      </c>
    </row>
    <row r="951" spans="1:12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f>Table1[[#This Row],[Quantity]]*Table1[[#This Row],[Price per Unit]]</f>
        <v>900</v>
      </c>
      <c r="K951" t="str">
        <f t="shared" si="28"/>
        <v>35–44</v>
      </c>
      <c r="L951" t="str">
        <f t="shared" si="29"/>
        <v>2023-11</v>
      </c>
    </row>
    <row r="952" spans="1:12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f>Table1[[#This Row],[Quantity]]*Table1[[#This Row],[Price per Unit]]</f>
        <v>100</v>
      </c>
      <c r="K952" t="str">
        <f t="shared" si="28"/>
        <v>25–34</v>
      </c>
      <c r="L952" t="str">
        <f t="shared" si="29"/>
        <v>2023-11</v>
      </c>
    </row>
    <row r="953" spans="1:12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f>Table1[[#This Row],[Quantity]]*Table1[[#This Row],[Price per Unit]]</f>
        <v>25</v>
      </c>
      <c r="K953" t="str">
        <f t="shared" si="28"/>
        <v>55+</v>
      </c>
      <c r="L953" t="str">
        <f t="shared" si="29"/>
        <v>2023-11</v>
      </c>
    </row>
    <row r="954" spans="1:12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f>Table1[[#This Row],[Quantity]]*Table1[[#This Row],[Price per Unit]]</f>
        <v>90</v>
      </c>
      <c r="K954" t="str">
        <f t="shared" si="28"/>
        <v>45–54</v>
      </c>
      <c r="L954" t="str">
        <f t="shared" si="29"/>
        <v>2023-04</v>
      </c>
    </row>
    <row r="955" spans="1:12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f>Table1[[#This Row],[Quantity]]*Table1[[#This Row],[Price per Unit]]</f>
        <v>900</v>
      </c>
      <c r="K955" t="str">
        <f t="shared" si="28"/>
        <v>45–54</v>
      </c>
      <c r="L955" t="str">
        <f t="shared" si="29"/>
        <v>2023-09</v>
      </c>
    </row>
    <row r="956" spans="1:12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f>Table1[[#This Row],[Quantity]]*Table1[[#This Row],[Price per Unit]]</f>
        <v>25</v>
      </c>
      <c r="K956" t="str">
        <f t="shared" si="28"/>
        <v>55+</v>
      </c>
      <c r="L956" t="str">
        <f t="shared" si="29"/>
        <v>2023-07</v>
      </c>
    </row>
    <row r="957" spans="1:12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f>Table1[[#This Row],[Quantity]]*Table1[[#This Row],[Price per Unit]]</f>
        <v>1500</v>
      </c>
      <c r="K957" t="str">
        <f t="shared" si="28"/>
        <v>25–34</v>
      </c>
      <c r="L957" t="str">
        <f t="shared" si="29"/>
        <v>2023-08</v>
      </c>
    </row>
    <row r="958" spans="1:12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f>Table1[[#This Row],[Quantity]]*Table1[[#This Row],[Price per Unit]]</f>
        <v>120</v>
      </c>
      <c r="K958" t="str">
        <f t="shared" si="28"/>
        <v>55+</v>
      </c>
      <c r="L958" t="str">
        <f t="shared" si="29"/>
        <v>2023-08</v>
      </c>
    </row>
    <row r="959" spans="1:12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f>Table1[[#This Row],[Quantity]]*Table1[[#This Row],[Price per Unit]]</f>
        <v>50</v>
      </c>
      <c r="K959" t="str">
        <f t="shared" si="28"/>
        <v>55+</v>
      </c>
      <c r="L959" t="str">
        <f t="shared" si="29"/>
        <v>2023-06</v>
      </c>
    </row>
    <row r="960" spans="1:12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f>Table1[[#This Row],[Quantity]]*Table1[[#This Row],[Price per Unit]]</f>
        <v>60</v>
      </c>
      <c r="K960" t="str">
        <f t="shared" si="28"/>
        <v>35–44</v>
      </c>
      <c r="L960" t="str">
        <f t="shared" si="29"/>
        <v>2023-10</v>
      </c>
    </row>
    <row r="961" spans="1:12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f>Table1[[#This Row],[Quantity]]*Table1[[#This Row],[Price per Unit]]</f>
        <v>60</v>
      </c>
      <c r="K961" t="str">
        <f t="shared" si="28"/>
        <v>55+</v>
      </c>
      <c r="L961" t="str">
        <f t="shared" si="29"/>
        <v>2023-08</v>
      </c>
    </row>
    <row r="962" spans="1:12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f>Table1[[#This Row],[Quantity]]*Table1[[#This Row],[Price per Unit]]</f>
        <v>200</v>
      </c>
      <c r="K962" t="str">
        <f t="shared" ref="K962:K1001" si="30">IF(E962&lt;25,"Under 25",
IF(E962&lt;35,"25–34",
IF(E962&lt;45,"35–44",
IF(E962&lt;55,"45–54","55+"))))</f>
        <v>45–54</v>
      </c>
      <c r="L962" t="str">
        <f t="shared" ref="L962:L1001" si="31">TEXT(B962,"yyyy-mm")</f>
        <v>2023-06</v>
      </c>
    </row>
    <row r="963" spans="1:12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f>Table1[[#This Row],[Quantity]]*Table1[[#This Row],[Price per Unit]]</f>
        <v>60</v>
      </c>
      <c r="K963" t="str">
        <f t="shared" si="30"/>
        <v>35–44</v>
      </c>
      <c r="L963" t="str">
        <f t="shared" si="31"/>
        <v>2023-10</v>
      </c>
    </row>
    <row r="964" spans="1:12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f>Table1[[#This Row],[Quantity]]*Table1[[#This Row],[Price per Unit]]</f>
        <v>50</v>
      </c>
      <c r="K964" t="str">
        <f t="shared" si="30"/>
        <v>55+</v>
      </c>
      <c r="L964" t="str">
        <f t="shared" si="31"/>
        <v>2023-11</v>
      </c>
    </row>
    <row r="965" spans="1:12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f>Table1[[#This Row],[Quantity]]*Table1[[#This Row],[Price per Unit]]</f>
        <v>900</v>
      </c>
      <c r="K965" t="str">
        <f t="shared" si="30"/>
        <v>Under 25</v>
      </c>
      <c r="L965" t="str">
        <f t="shared" si="31"/>
        <v>2023-01</v>
      </c>
    </row>
    <row r="966" spans="1:12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f>Table1[[#This Row],[Quantity]]*Table1[[#This Row],[Price per Unit]]</f>
        <v>200</v>
      </c>
      <c r="K966" t="str">
        <f t="shared" si="30"/>
        <v>Under 25</v>
      </c>
      <c r="L966" t="str">
        <f t="shared" si="31"/>
        <v>2023-11</v>
      </c>
    </row>
    <row r="967" spans="1:12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f>Table1[[#This Row],[Quantity]]*Table1[[#This Row],[Price per Unit]]</f>
        <v>1000</v>
      </c>
      <c r="K967" t="str">
        <f t="shared" si="30"/>
        <v>55+</v>
      </c>
      <c r="L967" t="str">
        <f t="shared" si="31"/>
        <v>2023-02</v>
      </c>
    </row>
    <row r="968" spans="1:12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f>Table1[[#This Row],[Quantity]]*Table1[[#This Row],[Price per Unit]]</f>
        <v>25</v>
      </c>
      <c r="K968" t="str">
        <f t="shared" si="30"/>
        <v>55+</v>
      </c>
      <c r="L968" t="str">
        <f t="shared" si="31"/>
        <v>2023-04</v>
      </c>
    </row>
    <row r="969" spans="1:12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f>Table1[[#This Row],[Quantity]]*Table1[[#This Row],[Price per Unit]]</f>
        <v>900</v>
      </c>
      <c r="K969" t="str">
        <f t="shared" si="30"/>
        <v>45–54</v>
      </c>
      <c r="L969" t="str">
        <f t="shared" si="31"/>
        <v>2023-11</v>
      </c>
    </row>
    <row r="970" spans="1:12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f>Table1[[#This Row],[Quantity]]*Table1[[#This Row],[Price per Unit]]</f>
        <v>900</v>
      </c>
      <c r="K970" t="str">
        <f t="shared" si="30"/>
        <v>35–44</v>
      </c>
      <c r="L970" t="str">
        <f t="shared" si="31"/>
        <v>2023-04</v>
      </c>
    </row>
    <row r="971" spans="1:12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f>Table1[[#This Row],[Quantity]]*Table1[[#This Row],[Price per Unit]]</f>
        <v>2000</v>
      </c>
      <c r="K971" t="str">
        <f t="shared" si="30"/>
        <v>55+</v>
      </c>
      <c r="L971" t="str">
        <f t="shared" si="31"/>
        <v>2023-05</v>
      </c>
    </row>
    <row r="972" spans="1:12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f>Table1[[#This Row],[Quantity]]*Table1[[#This Row],[Price per Unit]]</f>
        <v>200</v>
      </c>
      <c r="K972" t="str">
        <f t="shared" si="30"/>
        <v>25–34</v>
      </c>
      <c r="L972" t="str">
        <f t="shared" si="31"/>
        <v>2023-12</v>
      </c>
    </row>
    <row r="973" spans="1:12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f>Table1[[#This Row],[Quantity]]*Table1[[#This Row],[Price per Unit]]</f>
        <v>100</v>
      </c>
      <c r="K973" t="str">
        <f t="shared" si="30"/>
        <v>45–54</v>
      </c>
      <c r="L973" t="str">
        <f t="shared" si="31"/>
        <v>2023-02</v>
      </c>
    </row>
    <row r="974" spans="1:12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f>Table1[[#This Row],[Quantity]]*Table1[[#This Row],[Price per Unit]]</f>
        <v>50</v>
      </c>
      <c r="K974" t="str">
        <f t="shared" si="30"/>
        <v>55+</v>
      </c>
      <c r="L974" t="str">
        <f t="shared" si="31"/>
        <v>2023-03</v>
      </c>
    </row>
    <row r="975" spans="1:12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f>Table1[[#This Row],[Quantity]]*Table1[[#This Row],[Price per Unit]]</f>
        <v>30</v>
      </c>
      <c r="K975" t="str">
        <f t="shared" si="30"/>
        <v>45–54</v>
      </c>
      <c r="L975" t="str">
        <f t="shared" si="31"/>
        <v>2023-05</v>
      </c>
    </row>
    <row r="976" spans="1:12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f>Table1[[#This Row],[Quantity]]*Table1[[#This Row],[Price per Unit]]</f>
        <v>200</v>
      </c>
      <c r="K976" t="str">
        <f t="shared" si="30"/>
        <v>55+</v>
      </c>
      <c r="L976" t="str">
        <f t="shared" si="31"/>
        <v>2023-03</v>
      </c>
    </row>
    <row r="977" spans="1:12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f>Table1[[#This Row],[Quantity]]*Table1[[#This Row],[Price per Unit]]</f>
        <v>600</v>
      </c>
      <c r="K977" t="str">
        <f t="shared" si="30"/>
        <v>45–54</v>
      </c>
      <c r="L977" t="str">
        <f t="shared" si="31"/>
        <v>2023-10</v>
      </c>
    </row>
    <row r="978" spans="1:12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f>Table1[[#This Row],[Quantity]]*Table1[[#This Row],[Price per Unit]]</f>
        <v>75</v>
      </c>
      <c r="K978" t="str">
        <f t="shared" si="30"/>
        <v>35–44</v>
      </c>
      <c r="L978" t="str">
        <f t="shared" si="31"/>
        <v>2023-02</v>
      </c>
    </row>
    <row r="979" spans="1:12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f>Table1[[#This Row],[Quantity]]*Table1[[#This Row],[Price per Unit]]</f>
        <v>150</v>
      </c>
      <c r="K979" t="str">
        <f t="shared" si="30"/>
        <v>45–54</v>
      </c>
      <c r="L979" t="str">
        <f t="shared" si="31"/>
        <v>2023-03</v>
      </c>
    </row>
    <row r="980" spans="1:12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f>Table1[[#This Row],[Quantity]]*Table1[[#This Row],[Price per Unit]]</f>
        <v>25</v>
      </c>
      <c r="K980" t="str">
        <f t="shared" si="30"/>
        <v>Under 25</v>
      </c>
      <c r="L980" t="str">
        <f t="shared" si="31"/>
        <v>2023-01</v>
      </c>
    </row>
    <row r="981" spans="1:12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f>Table1[[#This Row],[Quantity]]*Table1[[#This Row],[Price per Unit]]</f>
        <v>75</v>
      </c>
      <c r="K981" t="str">
        <f t="shared" si="30"/>
        <v>25–34</v>
      </c>
      <c r="L981" t="str">
        <f t="shared" si="31"/>
        <v>2023-07</v>
      </c>
    </row>
    <row r="982" spans="1:12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f>Table1[[#This Row],[Quantity]]*Table1[[#This Row],[Price per Unit]]</f>
        <v>60</v>
      </c>
      <c r="K982" t="str">
        <f t="shared" si="30"/>
        <v>25–34</v>
      </c>
      <c r="L982" t="str">
        <f t="shared" si="31"/>
        <v>2023-08</v>
      </c>
    </row>
    <row r="983" spans="1:12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f>Table1[[#This Row],[Quantity]]*Table1[[#This Row],[Price per Unit]]</f>
        <v>90</v>
      </c>
      <c r="K983" t="str">
        <f t="shared" si="30"/>
        <v>45–54</v>
      </c>
      <c r="L983" t="str">
        <f t="shared" si="31"/>
        <v>2023-12</v>
      </c>
    </row>
    <row r="984" spans="1:12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f>Table1[[#This Row],[Quantity]]*Table1[[#This Row],[Price per Unit]]</f>
        <v>300</v>
      </c>
      <c r="K984" t="str">
        <f t="shared" si="30"/>
        <v>25–34</v>
      </c>
      <c r="L984" t="str">
        <f t="shared" si="31"/>
        <v>2023-11</v>
      </c>
    </row>
    <row r="985" spans="1:12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f>Table1[[#This Row],[Quantity]]*Table1[[#This Row],[Price per Unit]]</f>
        <v>500</v>
      </c>
      <c r="K985" t="str">
        <f t="shared" si="30"/>
        <v>55+</v>
      </c>
      <c r="L985" t="str">
        <f t="shared" si="31"/>
        <v>2023-08</v>
      </c>
    </row>
    <row r="986" spans="1:12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f>Table1[[#This Row],[Quantity]]*Table1[[#This Row],[Price per Unit]]</f>
        <v>50</v>
      </c>
      <c r="K986" t="str">
        <f t="shared" si="30"/>
        <v>Under 25</v>
      </c>
      <c r="L986" t="str">
        <f t="shared" si="31"/>
        <v>2023-05</v>
      </c>
    </row>
    <row r="987" spans="1:12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f>Table1[[#This Row],[Quantity]]*Table1[[#This Row],[Price per Unit]]</f>
        <v>1000</v>
      </c>
      <c r="K987" t="str">
        <f t="shared" si="30"/>
        <v>45–54</v>
      </c>
      <c r="L987" t="str">
        <f t="shared" si="31"/>
        <v>2023-01</v>
      </c>
    </row>
    <row r="988" spans="1:12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f>Table1[[#This Row],[Quantity]]*Table1[[#This Row],[Price per Unit]]</f>
        <v>900</v>
      </c>
      <c r="K988" t="str">
        <f t="shared" si="30"/>
        <v>25–34</v>
      </c>
      <c r="L988" t="str">
        <f t="shared" si="31"/>
        <v>2023-04</v>
      </c>
    </row>
    <row r="989" spans="1:12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f>Table1[[#This Row],[Quantity]]*Table1[[#This Row],[Price per Unit]]</f>
        <v>75</v>
      </c>
      <c r="K989" t="str">
        <f t="shared" si="30"/>
        <v>55+</v>
      </c>
      <c r="L989" t="str">
        <f t="shared" si="31"/>
        <v>2023-05</v>
      </c>
    </row>
    <row r="990" spans="1:12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f>Table1[[#This Row],[Quantity]]*Table1[[#This Row],[Price per Unit]]</f>
        <v>25</v>
      </c>
      <c r="K990" t="str">
        <f t="shared" si="30"/>
        <v>35–44</v>
      </c>
      <c r="L990" t="str">
        <f t="shared" si="31"/>
        <v>2023-12</v>
      </c>
    </row>
    <row r="991" spans="1:12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f>Table1[[#This Row],[Quantity]]*Table1[[#This Row],[Price per Unit]]</f>
        <v>1000</v>
      </c>
      <c r="K991" t="str">
        <f t="shared" si="30"/>
        <v>55+</v>
      </c>
      <c r="L991" t="str">
        <f t="shared" si="31"/>
        <v>2023-05</v>
      </c>
    </row>
    <row r="992" spans="1:12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f>Table1[[#This Row],[Quantity]]*Table1[[#This Row],[Price per Unit]]</f>
        <v>100</v>
      </c>
      <c r="K992" t="str">
        <f t="shared" si="30"/>
        <v>25–34</v>
      </c>
      <c r="L992" t="str">
        <f t="shared" si="31"/>
        <v>2023-12</v>
      </c>
    </row>
    <row r="993" spans="1:12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f>Table1[[#This Row],[Quantity]]*Table1[[#This Row],[Price per Unit]]</f>
        <v>60</v>
      </c>
      <c r="K993" t="str">
        <f t="shared" si="30"/>
        <v>55+</v>
      </c>
      <c r="L993" t="str">
        <f t="shared" si="31"/>
        <v>2023-08</v>
      </c>
    </row>
    <row r="994" spans="1:12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f>Table1[[#This Row],[Quantity]]*Table1[[#This Row],[Price per Unit]]</f>
        <v>150</v>
      </c>
      <c r="K994" t="str">
        <f t="shared" si="30"/>
        <v>45–54</v>
      </c>
      <c r="L994" t="str">
        <f t="shared" si="31"/>
        <v>2023-02</v>
      </c>
    </row>
    <row r="995" spans="1:12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f>Table1[[#This Row],[Quantity]]*Table1[[#This Row],[Price per Unit]]</f>
        <v>1000</v>
      </c>
      <c r="K995" t="str">
        <f t="shared" si="30"/>
        <v>45–54</v>
      </c>
      <c r="L995" t="str">
        <f t="shared" si="31"/>
        <v>2023-12</v>
      </c>
    </row>
    <row r="996" spans="1:12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f>Table1[[#This Row],[Quantity]]*Table1[[#This Row],[Price per Unit]]</f>
        <v>30</v>
      </c>
      <c r="K996" t="str">
        <f t="shared" si="30"/>
        <v>35–44</v>
      </c>
      <c r="L996" t="str">
        <f t="shared" si="31"/>
        <v>2023-04</v>
      </c>
    </row>
    <row r="997" spans="1:12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f>Table1[[#This Row],[Quantity]]*Table1[[#This Row],[Price per Unit]]</f>
        <v>50</v>
      </c>
      <c r="K997" t="str">
        <f t="shared" si="30"/>
        <v>55+</v>
      </c>
      <c r="L997" t="str">
        <f t="shared" si="31"/>
        <v>2023-05</v>
      </c>
    </row>
    <row r="998" spans="1:12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f>Table1[[#This Row],[Quantity]]*Table1[[#This Row],[Price per Unit]]</f>
        <v>90</v>
      </c>
      <c r="K998" t="str">
        <f t="shared" si="30"/>
        <v>45–54</v>
      </c>
      <c r="L998" t="str">
        <f t="shared" si="31"/>
        <v>2023-11</v>
      </c>
    </row>
    <row r="999" spans="1:12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f>Table1[[#This Row],[Quantity]]*Table1[[#This Row],[Price per Unit]]</f>
        <v>100</v>
      </c>
      <c r="K999" t="str">
        <f t="shared" si="30"/>
        <v>Under 25</v>
      </c>
      <c r="L999" t="str">
        <f t="shared" si="31"/>
        <v>2023-10</v>
      </c>
    </row>
    <row r="1000" spans="1:12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f>Table1[[#This Row],[Quantity]]*Table1[[#This Row],[Price per Unit]]</f>
        <v>150</v>
      </c>
      <c r="K1000" t="str">
        <f t="shared" si="30"/>
        <v>35–44</v>
      </c>
      <c r="L1000" t="str">
        <f t="shared" si="31"/>
        <v>2023-12</v>
      </c>
    </row>
    <row r="1001" spans="1:12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f>Table1[[#This Row],[Quantity]]*Table1[[#This Row],[Price per Unit]]</f>
        <v>120</v>
      </c>
      <c r="K1001" t="str">
        <f t="shared" si="30"/>
        <v>45–54</v>
      </c>
      <c r="L1001" t="str">
        <f t="shared" si="31"/>
        <v>2023-04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C979-B266-484A-9F38-C5114E5F5F4B}">
  <dimension ref="A1:G15"/>
  <sheetViews>
    <sheetView workbookViewId="0">
      <selection activeCell="D13" sqref="D13"/>
    </sheetView>
  </sheetViews>
  <sheetFormatPr defaultRowHeight="15" x14ac:dyDescent="0.25"/>
  <cols>
    <col min="1" max="1" width="41.7109375" bestFit="1" customWidth="1"/>
    <col min="2" max="2" width="17" bestFit="1" customWidth="1"/>
  </cols>
  <sheetData>
    <row r="1" spans="1:7" ht="18.75" x14ac:dyDescent="0.3">
      <c r="A1" s="7" t="s">
        <v>1015</v>
      </c>
      <c r="B1" s="8">
        <f>SUM(RETAIL_SALES_DATASET!J2:J1001)</f>
        <v>456000</v>
      </c>
    </row>
    <row r="2" spans="1:7" ht="18.75" x14ac:dyDescent="0.3">
      <c r="A2" s="9" t="s">
        <v>1016</v>
      </c>
      <c r="B2" s="10">
        <f>COUNTA(RETAIL_SALES_DATASET!A:A)</f>
        <v>1001</v>
      </c>
    </row>
    <row r="3" spans="1:7" ht="18.75" x14ac:dyDescent="0.3">
      <c r="A3" s="9" t="s">
        <v>1017</v>
      </c>
      <c r="B3" s="10">
        <f>COUNTA(_xlfn.UNIQUE(RETAIL_SALES_DATASET!C:C))</f>
        <v>1002</v>
      </c>
    </row>
    <row r="4" spans="1:7" ht="18.75" x14ac:dyDescent="0.3">
      <c r="A4" s="9" t="s">
        <v>1018</v>
      </c>
      <c r="B4" s="11">
        <f>B1/B2</f>
        <v>455.54445554445556</v>
      </c>
    </row>
    <row r="5" spans="1:7" ht="18.75" x14ac:dyDescent="0.3">
      <c r="A5" s="9" t="s">
        <v>1019</v>
      </c>
      <c r="B5" s="11">
        <f>B1/B3</f>
        <v>455.08982035928142</v>
      </c>
    </row>
    <row r="6" spans="1:7" ht="18.75" x14ac:dyDescent="0.3">
      <c r="A6" s="9" t="s">
        <v>1020</v>
      </c>
      <c r="B6" s="10">
        <f>SUM(RETAIL_SALES_DATASET!G:G)</f>
        <v>2514</v>
      </c>
    </row>
    <row r="7" spans="1:7" ht="19.5" thickBot="1" x14ac:dyDescent="0.35">
      <c r="A7" s="12" t="s">
        <v>1021</v>
      </c>
      <c r="B7" s="13">
        <f>B1/B6</f>
        <v>181.38424821002386</v>
      </c>
    </row>
    <row r="15" spans="1:7" x14ac:dyDescent="0.25">
      <c r="F15" s="3"/>
      <c r="G1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EE2E-5A3E-42E5-B68D-BF3E639D7D35}">
  <dimension ref="A3:B6"/>
  <sheetViews>
    <sheetView workbookViewId="0">
      <selection activeCell="N26" sqref="N26"/>
    </sheetView>
  </sheetViews>
  <sheetFormatPr defaultRowHeight="15" x14ac:dyDescent="0.25"/>
  <cols>
    <col min="1" max="1" width="18.5703125" bestFit="1" customWidth="1"/>
    <col min="2" max="2" width="13.85546875" bestFit="1" customWidth="1"/>
  </cols>
  <sheetData>
    <row r="3" spans="1:2" x14ac:dyDescent="0.25">
      <c r="A3" s="4" t="s">
        <v>5</v>
      </c>
      <c r="B3" t="s">
        <v>1015</v>
      </c>
    </row>
    <row r="4" spans="1:2" x14ac:dyDescent="0.25">
      <c r="A4" t="s">
        <v>16</v>
      </c>
      <c r="B4" s="2">
        <v>156905</v>
      </c>
    </row>
    <row r="5" spans="1:2" x14ac:dyDescent="0.25">
      <c r="A5" t="s">
        <v>14</v>
      </c>
      <c r="B5" s="2">
        <v>155580</v>
      </c>
    </row>
    <row r="6" spans="1:2" x14ac:dyDescent="0.25">
      <c r="A6" t="s">
        <v>11</v>
      </c>
      <c r="B6" s="2">
        <v>143515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F9DE-5149-407B-9249-28F6D92E5257}">
  <dimension ref="A3:B5"/>
  <sheetViews>
    <sheetView workbookViewId="0">
      <selection activeCell="B4" sqref="B4"/>
    </sheetView>
  </sheetViews>
  <sheetFormatPr defaultRowHeight="15" x14ac:dyDescent="0.25"/>
  <cols>
    <col min="1" max="1" width="10" bestFit="1" customWidth="1"/>
    <col min="2" max="2" width="13.85546875" bestFit="1" customWidth="1"/>
  </cols>
  <sheetData>
    <row r="3" spans="1:2" x14ac:dyDescent="0.25">
      <c r="A3" s="4" t="s">
        <v>3</v>
      </c>
      <c r="B3" t="s">
        <v>1015</v>
      </c>
    </row>
    <row r="4" spans="1:2" x14ac:dyDescent="0.25">
      <c r="A4" t="s">
        <v>13</v>
      </c>
      <c r="B4" s="2">
        <v>232840</v>
      </c>
    </row>
    <row r="5" spans="1:2" x14ac:dyDescent="0.25">
      <c r="A5" t="s">
        <v>10</v>
      </c>
      <c r="B5" s="2">
        <v>223160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A0AB-47E8-47B0-90B0-E274613A3133}">
  <dimension ref="A3:B8"/>
  <sheetViews>
    <sheetView workbookViewId="0">
      <selection activeCell="B5" sqref="B5"/>
    </sheetView>
  </sheetViews>
  <sheetFormatPr defaultRowHeight="15" x14ac:dyDescent="0.25"/>
  <cols>
    <col min="1" max="1" width="12.7109375" bestFit="1" customWidth="1"/>
    <col min="2" max="2" width="13.85546875" bestFit="1" customWidth="1"/>
  </cols>
  <sheetData>
    <row r="3" spans="1:2" x14ac:dyDescent="0.25">
      <c r="A3" s="4" t="s">
        <v>1023</v>
      </c>
      <c r="B3" t="s">
        <v>1015</v>
      </c>
    </row>
    <row r="4" spans="1:2" x14ac:dyDescent="0.25">
      <c r="A4" t="s">
        <v>1026</v>
      </c>
      <c r="B4" s="2">
        <v>97235</v>
      </c>
    </row>
    <row r="5" spans="1:2" x14ac:dyDescent="0.25">
      <c r="A5" t="s">
        <v>1024</v>
      </c>
      <c r="B5" s="2">
        <v>97090</v>
      </c>
    </row>
    <row r="6" spans="1:2" x14ac:dyDescent="0.25">
      <c r="A6" t="s">
        <v>1025</v>
      </c>
      <c r="B6" s="2">
        <v>96835</v>
      </c>
    </row>
    <row r="7" spans="1:2" x14ac:dyDescent="0.25">
      <c r="A7" t="s">
        <v>1027</v>
      </c>
      <c r="B7" s="2">
        <v>90190</v>
      </c>
    </row>
    <row r="8" spans="1:2" x14ac:dyDescent="0.25">
      <c r="A8" t="s">
        <v>1028</v>
      </c>
      <c r="B8" s="2">
        <v>74650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80E9-994E-4229-99FB-080094D0E706}">
  <dimension ref="A3:B16"/>
  <sheetViews>
    <sheetView tabSelected="1" workbookViewId="0">
      <selection activeCell="R18" sqref="R18"/>
    </sheetView>
  </sheetViews>
  <sheetFormatPr defaultRowHeight="15" x14ac:dyDescent="0.25"/>
  <cols>
    <col min="1" max="1" width="9.28515625" bestFit="1" customWidth="1"/>
    <col min="2" max="2" width="13.85546875" bestFit="1" customWidth="1"/>
  </cols>
  <sheetData>
    <row r="3" spans="1:2" x14ac:dyDescent="0.25">
      <c r="A3" s="4" t="s">
        <v>1029</v>
      </c>
      <c r="B3" t="s">
        <v>1015</v>
      </c>
    </row>
    <row r="4" spans="1:2" x14ac:dyDescent="0.25">
      <c r="A4" t="s">
        <v>1030</v>
      </c>
      <c r="B4" s="2">
        <v>35450</v>
      </c>
    </row>
    <row r="5" spans="1:2" x14ac:dyDescent="0.25">
      <c r="A5" t="s">
        <v>1031</v>
      </c>
      <c r="B5" s="2">
        <v>44060</v>
      </c>
    </row>
    <row r="6" spans="1:2" x14ac:dyDescent="0.25">
      <c r="A6" t="s">
        <v>1032</v>
      </c>
      <c r="B6" s="2">
        <v>28990</v>
      </c>
    </row>
    <row r="7" spans="1:2" x14ac:dyDescent="0.25">
      <c r="A7" t="s">
        <v>1033</v>
      </c>
      <c r="B7" s="2">
        <v>33870</v>
      </c>
    </row>
    <row r="8" spans="1:2" x14ac:dyDescent="0.25">
      <c r="A8" t="s">
        <v>1034</v>
      </c>
      <c r="B8" s="2">
        <v>53150</v>
      </c>
    </row>
    <row r="9" spans="1:2" x14ac:dyDescent="0.25">
      <c r="A9" t="s">
        <v>1035</v>
      </c>
      <c r="B9" s="2">
        <v>36715</v>
      </c>
    </row>
    <row r="10" spans="1:2" x14ac:dyDescent="0.25">
      <c r="A10" t="s">
        <v>1036</v>
      </c>
      <c r="B10" s="2">
        <v>35465</v>
      </c>
    </row>
    <row r="11" spans="1:2" x14ac:dyDescent="0.25">
      <c r="A11" t="s">
        <v>1037</v>
      </c>
      <c r="B11" s="2">
        <v>36960</v>
      </c>
    </row>
    <row r="12" spans="1:2" x14ac:dyDescent="0.25">
      <c r="A12" t="s">
        <v>1038</v>
      </c>
      <c r="B12" s="2">
        <v>23620</v>
      </c>
    </row>
    <row r="13" spans="1:2" x14ac:dyDescent="0.25">
      <c r="A13" t="s">
        <v>1039</v>
      </c>
      <c r="B13" s="2">
        <v>46580</v>
      </c>
    </row>
    <row r="14" spans="1:2" x14ac:dyDescent="0.25">
      <c r="A14" t="s">
        <v>1040</v>
      </c>
      <c r="B14" s="2">
        <v>34920</v>
      </c>
    </row>
    <row r="15" spans="1:2" x14ac:dyDescent="0.25">
      <c r="A15" t="s">
        <v>1041</v>
      </c>
      <c r="B15" s="2">
        <v>44690</v>
      </c>
    </row>
    <row r="16" spans="1:2" x14ac:dyDescent="0.25">
      <c r="A16" t="s">
        <v>1042</v>
      </c>
      <c r="B16" s="2">
        <v>1530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07B6-D9C6-4401-9ABF-515ABD01F639}">
  <dimension ref="A3:C1004"/>
  <sheetViews>
    <sheetView workbookViewId="0">
      <selection activeCell="C3" sqref="C3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15" bestFit="1" customWidth="1"/>
  </cols>
  <sheetData>
    <row r="3" spans="1:3" x14ac:dyDescent="0.25">
      <c r="A3" s="4" t="s">
        <v>1043</v>
      </c>
      <c r="B3" t="s">
        <v>1015</v>
      </c>
      <c r="C3" t="s">
        <v>1044</v>
      </c>
    </row>
    <row r="4" spans="1:3" x14ac:dyDescent="0.25">
      <c r="A4" s="5" t="s">
        <v>802</v>
      </c>
      <c r="B4" s="2">
        <v>2000</v>
      </c>
      <c r="C4" s="6">
        <v>4</v>
      </c>
    </row>
    <row r="5" spans="1:3" x14ac:dyDescent="0.25">
      <c r="A5" s="5" t="s">
        <v>959</v>
      </c>
      <c r="B5" s="2">
        <v>2000</v>
      </c>
      <c r="C5" s="6">
        <v>4</v>
      </c>
    </row>
    <row r="6" spans="1:3" x14ac:dyDescent="0.25">
      <c r="A6" s="5" t="s">
        <v>888</v>
      </c>
      <c r="B6" s="2">
        <v>2000</v>
      </c>
      <c r="C6" s="6">
        <v>4</v>
      </c>
    </row>
    <row r="7" spans="1:3" x14ac:dyDescent="0.25">
      <c r="A7" s="5" t="s">
        <v>713</v>
      </c>
      <c r="B7" s="2">
        <v>2000</v>
      </c>
      <c r="C7" s="6">
        <v>4</v>
      </c>
    </row>
    <row r="8" spans="1:3" x14ac:dyDescent="0.25">
      <c r="A8" s="5" t="s">
        <v>786</v>
      </c>
      <c r="B8" s="2">
        <v>2000</v>
      </c>
      <c r="C8" s="6">
        <v>4</v>
      </c>
    </row>
    <row r="9" spans="1:3" x14ac:dyDescent="0.25">
      <c r="A9" s="5" t="s">
        <v>744</v>
      </c>
      <c r="B9" s="2">
        <v>2000</v>
      </c>
      <c r="C9" s="6">
        <v>4</v>
      </c>
    </row>
    <row r="10" spans="1:3" x14ac:dyDescent="0.25">
      <c r="A10" s="5" t="s">
        <v>845</v>
      </c>
      <c r="B10" s="2">
        <v>2000</v>
      </c>
      <c r="C10" s="6">
        <v>4</v>
      </c>
    </row>
    <row r="11" spans="1:3" x14ac:dyDescent="0.25">
      <c r="A11" s="5" t="s">
        <v>748</v>
      </c>
      <c r="B11" s="2">
        <v>2000</v>
      </c>
      <c r="C11" s="6">
        <v>4</v>
      </c>
    </row>
    <row r="12" spans="1:3" x14ac:dyDescent="0.25">
      <c r="A12" s="5" t="s">
        <v>940</v>
      </c>
      <c r="B12" s="2">
        <v>2000</v>
      </c>
      <c r="C12" s="6">
        <v>4</v>
      </c>
    </row>
    <row r="13" spans="1:3" x14ac:dyDescent="0.25">
      <c r="A13" s="5" t="s">
        <v>755</v>
      </c>
      <c r="B13" s="2">
        <v>2000</v>
      </c>
      <c r="C13" s="6">
        <v>4</v>
      </c>
    </row>
    <row r="14" spans="1:3" x14ac:dyDescent="0.25">
      <c r="A14" s="5" t="s">
        <v>983</v>
      </c>
      <c r="B14" s="2">
        <v>2000</v>
      </c>
      <c r="C14" s="6">
        <v>4</v>
      </c>
    </row>
    <row r="15" spans="1:3" x14ac:dyDescent="0.25">
      <c r="A15" s="5" t="s">
        <v>756</v>
      </c>
      <c r="B15" s="2">
        <v>2000</v>
      </c>
      <c r="C15" s="6">
        <v>4</v>
      </c>
    </row>
    <row r="16" spans="1:3" x14ac:dyDescent="0.25">
      <c r="A16" s="5" t="s">
        <v>821</v>
      </c>
      <c r="B16" s="2">
        <v>2000</v>
      </c>
      <c r="C16" s="6">
        <v>4</v>
      </c>
    </row>
    <row r="17" spans="1:3" x14ac:dyDescent="0.25">
      <c r="A17" s="5" t="s">
        <v>639</v>
      </c>
      <c r="B17" s="2">
        <v>2000</v>
      </c>
      <c r="C17" s="6">
        <v>4</v>
      </c>
    </row>
    <row r="18" spans="1:3" x14ac:dyDescent="0.25">
      <c r="A18" s="5" t="s">
        <v>585</v>
      </c>
      <c r="B18" s="2">
        <v>2000</v>
      </c>
      <c r="C18" s="6">
        <v>4</v>
      </c>
    </row>
    <row r="19" spans="1:3" x14ac:dyDescent="0.25">
      <c r="A19" s="5" t="s">
        <v>560</v>
      </c>
      <c r="B19" s="2">
        <v>2000</v>
      </c>
      <c r="C19" s="6">
        <v>4</v>
      </c>
    </row>
    <row r="20" spans="1:3" x14ac:dyDescent="0.25">
      <c r="A20" s="5" t="s">
        <v>355</v>
      </c>
      <c r="B20" s="2">
        <v>2000</v>
      </c>
      <c r="C20" s="6">
        <v>4</v>
      </c>
    </row>
    <row r="21" spans="1:3" x14ac:dyDescent="0.25">
      <c r="A21" s="5" t="s">
        <v>605</v>
      </c>
      <c r="B21" s="2">
        <v>2000</v>
      </c>
      <c r="C21" s="6">
        <v>4</v>
      </c>
    </row>
    <row r="22" spans="1:3" x14ac:dyDescent="0.25">
      <c r="A22" s="5" t="s">
        <v>425</v>
      </c>
      <c r="B22" s="2">
        <v>2000</v>
      </c>
      <c r="C22" s="6">
        <v>4</v>
      </c>
    </row>
    <row r="23" spans="1:3" x14ac:dyDescent="0.25">
      <c r="A23" s="5" t="s">
        <v>677</v>
      </c>
      <c r="B23" s="2">
        <v>2000</v>
      </c>
      <c r="C23" s="6">
        <v>4</v>
      </c>
    </row>
    <row r="24" spans="1:3" x14ac:dyDescent="0.25">
      <c r="A24" s="5" t="s">
        <v>429</v>
      </c>
      <c r="B24" s="2">
        <v>2000</v>
      </c>
      <c r="C24" s="6">
        <v>4</v>
      </c>
    </row>
    <row r="25" spans="1:3" x14ac:dyDescent="0.25">
      <c r="A25" s="5" t="s">
        <v>574</v>
      </c>
      <c r="B25" s="2">
        <v>2000</v>
      </c>
      <c r="C25" s="6">
        <v>4</v>
      </c>
    </row>
    <row r="26" spans="1:3" x14ac:dyDescent="0.25">
      <c r="A26" s="5" t="s">
        <v>433</v>
      </c>
      <c r="B26" s="2">
        <v>2000</v>
      </c>
      <c r="C26" s="6">
        <v>4</v>
      </c>
    </row>
    <row r="27" spans="1:3" x14ac:dyDescent="0.25">
      <c r="A27" s="5" t="s">
        <v>590</v>
      </c>
      <c r="B27" s="2">
        <v>2000</v>
      </c>
      <c r="C27" s="6">
        <v>4</v>
      </c>
    </row>
    <row r="28" spans="1:3" x14ac:dyDescent="0.25">
      <c r="A28" s="5" t="s">
        <v>460</v>
      </c>
      <c r="B28" s="2">
        <v>2000</v>
      </c>
      <c r="C28" s="6">
        <v>4</v>
      </c>
    </row>
    <row r="29" spans="1:3" x14ac:dyDescent="0.25">
      <c r="A29" s="5" t="s">
        <v>608</v>
      </c>
      <c r="B29" s="2">
        <v>2000</v>
      </c>
      <c r="C29" s="6">
        <v>4</v>
      </c>
    </row>
    <row r="30" spans="1:3" x14ac:dyDescent="0.25">
      <c r="A30" s="5" t="s">
        <v>489</v>
      </c>
      <c r="B30" s="2">
        <v>2000</v>
      </c>
      <c r="C30" s="6">
        <v>4</v>
      </c>
    </row>
    <row r="31" spans="1:3" x14ac:dyDescent="0.25">
      <c r="A31" s="5" t="s">
        <v>647</v>
      </c>
      <c r="B31" s="2">
        <v>2000</v>
      </c>
      <c r="C31" s="6">
        <v>4</v>
      </c>
    </row>
    <row r="32" spans="1:3" x14ac:dyDescent="0.25">
      <c r="A32" s="5" t="s">
        <v>493</v>
      </c>
      <c r="B32" s="2">
        <v>2000</v>
      </c>
      <c r="C32" s="6">
        <v>4</v>
      </c>
    </row>
    <row r="33" spans="1:3" x14ac:dyDescent="0.25">
      <c r="A33" s="5" t="s">
        <v>500</v>
      </c>
      <c r="B33" s="2">
        <v>2000</v>
      </c>
      <c r="C33" s="6">
        <v>4</v>
      </c>
    </row>
    <row r="34" spans="1:3" x14ac:dyDescent="0.25">
      <c r="A34" s="5" t="s">
        <v>516</v>
      </c>
      <c r="B34" s="2">
        <v>2000</v>
      </c>
      <c r="C34" s="6">
        <v>4</v>
      </c>
    </row>
    <row r="35" spans="1:3" x14ac:dyDescent="0.25">
      <c r="A35" s="5" t="s">
        <v>270</v>
      </c>
      <c r="B35" s="2">
        <v>2000</v>
      </c>
      <c r="C35" s="6">
        <v>4</v>
      </c>
    </row>
    <row r="36" spans="1:3" x14ac:dyDescent="0.25">
      <c r="A36" s="5" t="s">
        <v>165</v>
      </c>
      <c r="B36" s="2">
        <v>2000</v>
      </c>
      <c r="C36" s="6">
        <v>4</v>
      </c>
    </row>
    <row r="37" spans="1:3" x14ac:dyDescent="0.25">
      <c r="A37" s="5" t="s">
        <v>137</v>
      </c>
      <c r="B37" s="2">
        <v>2000</v>
      </c>
      <c r="C37" s="6">
        <v>4</v>
      </c>
    </row>
    <row r="38" spans="1:3" x14ac:dyDescent="0.25">
      <c r="A38" s="5" t="s">
        <v>28</v>
      </c>
      <c r="B38" s="2">
        <v>2000</v>
      </c>
      <c r="C38" s="6">
        <v>4</v>
      </c>
    </row>
    <row r="39" spans="1:3" x14ac:dyDescent="0.25">
      <c r="A39" s="5" t="s">
        <v>170</v>
      </c>
      <c r="B39" s="2">
        <v>2000</v>
      </c>
      <c r="C39" s="6">
        <v>4</v>
      </c>
    </row>
    <row r="40" spans="1:3" x14ac:dyDescent="0.25">
      <c r="A40" s="5" t="s">
        <v>78</v>
      </c>
      <c r="B40" s="2">
        <v>2000</v>
      </c>
      <c r="C40" s="6">
        <v>4</v>
      </c>
    </row>
    <row r="41" spans="1:3" x14ac:dyDescent="0.25">
      <c r="A41" s="5" t="s">
        <v>294</v>
      </c>
      <c r="B41" s="2">
        <v>2000</v>
      </c>
      <c r="C41" s="6">
        <v>4</v>
      </c>
    </row>
    <row r="42" spans="1:3" x14ac:dyDescent="0.25">
      <c r="A42" s="5" t="s">
        <v>85</v>
      </c>
      <c r="B42" s="2">
        <v>2000</v>
      </c>
      <c r="C42" s="6">
        <v>4</v>
      </c>
    </row>
    <row r="43" spans="1:3" x14ac:dyDescent="0.25">
      <c r="A43" s="5" t="s">
        <v>152</v>
      </c>
      <c r="B43" s="2">
        <v>2000</v>
      </c>
      <c r="C43" s="6">
        <v>4</v>
      </c>
    </row>
    <row r="44" spans="1:3" x14ac:dyDescent="0.25">
      <c r="A44" s="5" t="s">
        <v>87</v>
      </c>
      <c r="B44" s="2">
        <v>2000</v>
      </c>
      <c r="C44" s="6">
        <v>4</v>
      </c>
    </row>
    <row r="45" spans="1:3" x14ac:dyDescent="0.25">
      <c r="A45" s="5" t="s">
        <v>168</v>
      </c>
      <c r="B45" s="2">
        <v>2000</v>
      </c>
      <c r="C45" s="6">
        <v>4</v>
      </c>
    </row>
    <row r="46" spans="1:3" x14ac:dyDescent="0.25">
      <c r="A46" s="5" t="s">
        <v>102</v>
      </c>
      <c r="B46" s="2">
        <v>2000</v>
      </c>
      <c r="C46" s="6">
        <v>4</v>
      </c>
    </row>
    <row r="47" spans="1:3" x14ac:dyDescent="0.25">
      <c r="A47" s="5" t="s">
        <v>266</v>
      </c>
      <c r="B47" s="2">
        <v>2000</v>
      </c>
      <c r="C47" s="6">
        <v>4</v>
      </c>
    </row>
    <row r="48" spans="1:3" x14ac:dyDescent="0.25">
      <c r="A48" s="5" t="s">
        <v>106</v>
      </c>
      <c r="B48" s="2">
        <v>2000</v>
      </c>
      <c r="C48" s="6">
        <v>4</v>
      </c>
    </row>
    <row r="49" spans="1:3" x14ac:dyDescent="0.25">
      <c r="A49" s="5" t="s">
        <v>282</v>
      </c>
      <c r="B49" s="2">
        <v>2000</v>
      </c>
      <c r="C49" s="6">
        <v>4</v>
      </c>
    </row>
    <row r="50" spans="1:3" x14ac:dyDescent="0.25">
      <c r="A50" s="5" t="s">
        <v>122</v>
      </c>
      <c r="B50" s="2">
        <v>2000</v>
      </c>
      <c r="C50" s="6">
        <v>4</v>
      </c>
    </row>
    <row r="51" spans="1:3" x14ac:dyDescent="0.25">
      <c r="A51" s="5" t="s">
        <v>131</v>
      </c>
      <c r="B51" s="2">
        <v>2000</v>
      </c>
      <c r="C51" s="6">
        <v>4</v>
      </c>
    </row>
    <row r="52" spans="1:3" x14ac:dyDescent="0.25">
      <c r="A52" s="5" t="s">
        <v>179</v>
      </c>
      <c r="B52" s="2">
        <v>2000</v>
      </c>
      <c r="C52" s="6">
        <v>4</v>
      </c>
    </row>
    <row r="53" spans="1:3" x14ac:dyDescent="0.25">
      <c r="A53" s="5" t="s">
        <v>969</v>
      </c>
      <c r="B53" s="2">
        <v>1500</v>
      </c>
      <c r="C53" s="6">
        <v>3</v>
      </c>
    </row>
    <row r="54" spans="1:3" x14ac:dyDescent="0.25">
      <c r="A54" s="5" t="s">
        <v>882</v>
      </c>
      <c r="B54" s="2">
        <v>1500</v>
      </c>
      <c r="C54" s="6">
        <v>3</v>
      </c>
    </row>
    <row r="55" spans="1:3" x14ac:dyDescent="0.25">
      <c r="A55" s="5" t="s">
        <v>856</v>
      </c>
      <c r="B55" s="2">
        <v>1500</v>
      </c>
      <c r="C55" s="6">
        <v>3</v>
      </c>
    </row>
    <row r="56" spans="1:3" x14ac:dyDescent="0.25">
      <c r="A56" s="5" t="s">
        <v>723</v>
      </c>
      <c r="B56" s="2">
        <v>1500</v>
      </c>
      <c r="C56" s="6">
        <v>3</v>
      </c>
    </row>
    <row r="57" spans="1:3" x14ac:dyDescent="0.25">
      <c r="A57" s="5" t="s">
        <v>690</v>
      </c>
      <c r="B57" s="2">
        <v>1500</v>
      </c>
      <c r="C57" s="6">
        <v>3</v>
      </c>
    </row>
    <row r="58" spans="1:3" x14ac:dyDescent="0.25">
      <c r="A58" s="5" t="s">
        <v>724</v>
      </c>
      <c r="B58" s="2">
        <v>1500</v>
      </c>
      <c r="C58" s="6">
        <v>3</v>
      </c>
    </row>
    <row r="59" spans="1:3" x14ac:dyDescent="0.25">
      <c r="A59" s="5" t="s">
        <v>818</v>
      </c>
      <c r="B59" s="2">
        <v>1500</v>
      </c>
      <c r="C59" s="6">
        <v>3</v>
      </c>
    </row>
    <row r="60" spans="1:3" x14ac:dyDescent="0.25">
      <c r="A60" s="5" t="s">
        <v>733</v>
      </c>
      <c r="B60" s="2">
        <v>1500</v>
      </c>
      <c r="C60" s="6">
        <v>3</v>
      </c>
    </row>
    <row r="61" spans="1:3" x14ac:dyDescent="0.25">
      <c r="A61" s="5" t="s">
        <v>872</v>
      </c>
      <c r="B61" s="2">
        <v>1500</v>
      </c>
      <c r="C61" s="6">
        <v>3</v>
      </c>
    </row>
    <row r="62" spans="1:3" x14ac:dyDescent="0.25">
      <c r="A62" s="5" t="s">
        <v>686</v>
      </c>
      <c r="B62" s="2">
        <v>1500</v>
      </c>
      <c r="C62" s="6">
        <v>3</v>
      </c>
    </row>
    <row r="63" spans="1:3" x14ac:dyDescent="0.25">
      <c r="A63" s="5" t="s">
        <v>955</v>
      </c>
      <c r="B63" s="2">
        <v>1500</v>
      </c>
      <c r="C63" s="6">
        <v>3</v>
      </c>
    </row>
    <row r="64" spans="1:3" x14ac:dyDescent="0.25">
      <c r="A64" s="5" t="s">
        <v>689</v>
      </c>
      <c r="B64" s="2">
        <v>1500</v>
      </c>
      <c r="C64" s="6">
        <v>3</v>
      </c>
    </row>
    <row r="65" spans="1:3" x14ac:dyDescent="0.25">
      <c r="A65" s="5" t="s">
        <v>706</v>
      </c>
      <c r="B65" s="2">
        <v>1500</v>
      </c>
      <c r="C65" s="6">
        <v>3</v>
      </c>
    </row>
    <row r="66" spans="1:3" x14ac:dyDescent="0.25">
      <c r="A66" s="5" t="s">
        <v>649</v>
      </c>
      <c r="B66" s="2">
        <v>1500</v>
      </c>
      <c r="C66" s="6">
        <v>3</v>
      </c>
    </row>
    <row r="67" spans="1:3" x14ac:dyDescent="0.25">
      <c r="A67" s="5" t="s">
        <v>593</v>
      </c>
      <c r="B67" s="2">
        <v>1500</v>
      </c>
      <c r="C67" s="6">
        <v>3</v>
      </c>
    </row>
    <row r="68" spans="1:3" x14ac:dyDescent="0.25">
      <c r="A68" s="5" t="s">
        <v>535</v>
      </c>
      <c r="B68" s="2">
        <v>1500</v>
      </c>
      <c r="C68" s="6">
        <v>3</v>
      </c>
    </row>
    <row r="69" spans="1:3" x14ac:dyDescent="0.25">
      <c r="A69" s="5" t="s">
        <v>382</v>
      </c>
      <c r="B69" s="2">
        <v>1500</v>
      </c>
      <c r="C69" s="6">
        <v>3</v>
      </c>
    </row>
    <row r="70" spans="1:3" x14ac:dyDescent="0.25">
      <c r="A70" s="5" t="s">
        <v>621</v>
      </c>
      <c r="B70" s="2">
        <v>1500</v>
      </c>
      <c r="C70" s="6">
        <v>3</v>
      </c>
    </row>
    <row r="71" spans="1:3" x14ac:dyDescent="0.25">
      <c r="A71" s="5" t="s">
        <v>385</v>
      </c>
      <c r="B71" s="2">
        <v>1500</v>
      </c>
      <c r="C71" s="6">
        <v>3</v>
      </c>
    </row>
    <row r="72" spans="1:3" x14ac:dyDescent="0.25">
      <c r="A72" s="5" t="s">
        <v>520</v>
      </c>
      <c r="B72" s="2">
        <v>1500</v>
      </c>
      <c r="C72" s="6">
        <v>3</v>
      </c>
    </row>
    <row r="73" spans="1:3" x14ac:dyDescent="0.25">
      <c r="A73" s="5" t="s">
        <v>398</v>
      </c>
      <c r="B73" s="2">
        <v>1500</v>
      </c>
      <c r="C73" s="6">
        <v>3</v>
      </c>
    </row>
    <row r="74" spans="1:3" x14ac:dyDescent="0.25">
      <c r="A74" s="5" t="s">
        <v>546</v>
      </c>
      <c r="B74" s="2">
        <v>1500</v>
      </c>
      <c r="C74" s="6">
        <v>3</v>
      </c>
    </row>
    <row r="75" spans="1:3" x14ac:dyDescent="0.25">
      <c r="A75" s="5" t="s">
        <v>434</v>
      </c>
      <c r="B75" s="2">
        <v>1500</v>
      </c>
      <c r="C75" s="6">
        <v>3</v>
      </c>
    </row>
    <row r="76" spans="1:3" x14ac:dyDescent="0.25">
      <c r="A76" s="5" t="s">
        <v>369</v>
      </c>
      <c r="B76" s="2">
        <v>1500</v>
      </c>
      <c r="C76" s="6">
        <v>3</v>
      </c>
    </row>
    <row r="77" spans="1:3" x14ac:dyDescent="0.25">
      <c r="A77" s="5" t="s">
        <v>465</v>
      </c>
      <c r="B77" s="2">
        <v>1500</v>
      </c>
      <c r="C77" s="6">
        <v>3</v>
      </c>
    </row>
    <row r="78" spans="1:3" x14ac:dyDescent="0.25">
      <c r="A78" s="5" t="s">
        <v>624</v>
      </c>
      <c r="B78" s="2">
        <v>1500</v>
      </c>
      <c r="C78" s="6">
        <v>3</v>
      </c>
    </row>
    <row r="79" spans="1:3" x14ac:dyDescent="0.25">
      <c r="A79" s="5" t="s">
        <v>476</v>
      </c>
      <c r="B79" s="2">
        <v>1500</v>
      </c>
      <c r="C79" s="6">
        <v>3</v>
      </c>
    </row>
    <row r="80" spans="1:3" x14ac:dyDescent="0.25">
      <c r="A80" s="5" t="s">
        <v>660</v>
      </c>
      <c r="B80" s="2">
        <v>1500</v>
      </c>
      <c r="C80" s="6">
        <v>3</v>
      </c>
    </row>
    <row r="81" spans="1:3" x14ac:dyDescent="0.25">
      <c r="A81" s="5" t="s">
        <v>487</v>
      </c>
      <c r="B81" s="2">
        <v>1500</v>
      </c>
      <c r="C81" s="6">
        <v>3</v>
      </c>
    </row>
    <row r="82" spans="1:3" x14ac:dyDescent="0.25">
      <c r="A82" s="5" t="s">
        <v>519</v>
      </c>
      <c r="B82" s="2">
        <v>1500</v>
      </c>
      <c r="C82" s="6">
        <v>3</v>
      </c>
    </row>
    <row r="83" spans="1:3" x14ac:dyDescent="0.25">
      <c r="A83" s="5" t="s">
        <v>226</v>
      </c>
      <c r="B83" s="2">
        <v>1500</v>
      </c>
      <c r="C83" s="6">
        <v>3</v>
      </c>
    </row>
    <row r="84" spans="1:3" x14ac:dyDescent="0.25">
      <c r="A84" s="5" t="s">
        <v>206</v>
      </c>
      <c r="B84" s="2">
        <v>1500</v>
      </c>
      <c r="C84" s="6">
        <v>3</v>
      </c>
    </row>
    <row r="85" spans="1:3" x14ac:dyDescent="0.25">
      <c r="A85" s="5" t="s">
        <v>293</v>
      </c>
      <c r="B85" s="2">
        <v>1500</v>
      </c>
      <c r="C85" s="6">
        <v>3</v>
      </c>
    </row>
    <row r="86" spans="1:3" x14ac:dyDescent="0.25">
      <c r="A86" s="5" t="s">
        <v>60</v>
      </c>
      <c r="B86" s="2">
        <v>1500</v>
      </c>
      <c r="C86" s="6">
        <v>3</v>
      </c>
    </row>
    <row r="87" spans="1:3" x14ac:dyDescent="0.25">
      <c r="A87" s="5" t="s">
        <v>224</v>
      </c>
      <c r="B87" s="2">
        <v>1500</v>
      </c>
      <c r="C87" s="6">
        <v>3</v>
      </c>
    </row>
    <row r="88" spans="1:3" x14ac:dyDescent="0.25">
      <c r="A88" s="5" t="s">
        <v>67</v>
      </c>
      <c r="B88" s="2">
        <v>1500</v>
      </c>
      <c r="C88" s="6">
        <v>3</v>
      </c>
    </row>
    <row r="89" spans="1:3" x14ac:dyDescent="0.25">
      <c r="A89" s="5" t="s">
        <v>252</v>
      </c>
      <c r="B89" s="2">
        <v>1500</v>
      </c>
      <c r="C89" s="6">
        <v>3</v>
      </c>
    </row>
    <row r="90" spans="1:3" x14ac:dyDescent="0.25">
      <c r="A90" s="5" t="s">
        <v>91</v>
      </c>
      <c r="B90" s="2">
        <v>1500</v>
      </c>
      <c r="C90" s="6">
        <v>3</v>
      </c>
    </row>
    <row r="91" spans="1:3" x14ac:dyDescent="0.25">
      <c r="A91" s="5" t="s">
        <v>182</v>
      </c>
      <c r="B91" s="2">
        <v>1500</v>
      </c>
      <c r="C91" s="6">
        <v>3</v>
      </c>
    </row>
    <row r="92" spans="1:3" x14ac:dyDescent="0.25">
      <c r="A92" s="5" t="s">
        <v>124</v>
      </c>
      <c r="B92" s="2">
        <v>1500</v>
      </c>
      <c r="C92" s="6">
        <v>3</v>
      </c>
    </row>
    <row r="93" spans="1:3" x14ac:dyDescent="0.25">
      <c r="A93" s="5" t="s">
        <v>212</v>
      </c>
      <c r="B93" s="2">
        <v>1500</v>
      </c>
      <c r="C93" s="6">
        <v>3</v>
      </c>
    </row>
    <row r="94" spans="1:3" x14ac:dyDescent="0.25">
      <c r="A94" s="5" t="s">
        <v>125</v>
      </c>
      <c r="B94" s="2">
        <v>1500</v>
      </c>
      <c r="C94" s="6">
        <v>3</v>
      </c>
    </row>
    <row r="95" spans="1:3" x14ac:dyDescent="0.25">
      <c r="A95" s="5" t="s">
        <v>225</v>
      </c>
      <c r="B95" s="2">
        <v>1500</v>
      </c>
      <c r="C95" s="6">
        <v>3</v>
      </c>
    </row>
    <row r="96" spans="1:3" x14ac:dyDescent="0.25">
      <c r="A96" s="5" t="s">
        <v>128</v>
      </c>
      <c r="B96" s="2">
        <v>1500</v>
      </c>
      <c r="C96" s="6">
        <v>3</v>
      </c>
    </row>
    <row r="97" spans="1:3" x14ac:dyDescent="0.25">
      <c r="A97" s="5" t="s">
        <v>228</v>
      </c>
      <c r="B97" s="2">
        <v>1500</v>
      </c>
      <c r="C97" s="6">
        <v>3</v>
      </c>
    </row>
    <row r="98" spans="1:3" x14ac:dyDescent="0.25">
      <c r="A98" s="5" t="s">
        <v>157</v>
      </c>
      <c r="B98" s="2">
        <v>1500</v>
      </c>
      <c r="C98" s="6">
        <v>3</v>
      </c>
    </row>
    <row r="99" spans="1:3" x14ac:dyDescent="0.25">
      <c r="A99" s="5" t="s">
        <v>29</v>
      </c>
      <c r="B99" s="2">
        <v>1500</v>
      </c>
      <c r="C99" s="6">
        <v>3</v>
      </c>
    </row>
    <row r="100" spans="1:3" x14ac:dyDescent="0.25">
      <c r="A100" s="5" t="s">
        <v>26</v>
      </c>
      <c r="B100" s="2">
        <v>1500</v>
      </c>
      <c r="C100" s="6">
        <v>3</v>
      </c>
    </row>
    <row r="101" spans="1:3" x14ac:dyDescent="0.25">
      <c r="A101" s="5" t="s">
        <v>326</v>
      </c>
      <c r="B101" s="2">
        <v>1500</v>
      </c>
      <c r="C101" s="6">
        <v>3</v>
      </c>
    </row>
    <row r="102" spans="1:3" x14ac:dyDescent="0.25">
      <c r="A102" s="5" t="s">
        <v>177</v>
      </c>
      <c r="B102" s="2">
        <v>1500</v>
      </c>
      <c r="C102" s="6">
        <v>3</v>
      </c>
    </row>
    <row r="103" spans="1:3" x14ac:dyDescent="0.25">
      <c r="A103" s="5" t="s">
        <v>875</v>
      </c>
      <c r="B103" s="2">
        <v>1200</v>
      </c>
      <c r="C103" s="6">
        <v>4</v>
      </c>
    </row>
    <row r="104" spans="1:3" x14ac:dyDescent="0.25">
      <c r="A104" s="5" t="s">
        <v>956</v>
      </c>
      <c r="B104" s="2">
        <v>1200</v>
      </c>
      <c r="C104" s="6">
        <v>4</v>
      </c>
    </row>
    <row r="105" spans="1:3" x14ac:dyDescent="0.25">
      <c r="A105" s="5" t="s">
        <v>921</v>
      </c>
      <c r="B105" s="2">
        <v>1200</v>
      </c>
      <c r="C105" s="6">
        <v>4</v>
      </c>
    </row>
    <row r="106" spans="1:3" x14ac:dyDescent="0.25">
      <c r="A106" s="5" t="s">
        <v>739</v>
      </c>
      <c r="B106" s="2">
        <v>1200</v>
      </c>
      <c r="C106" s="6">
        <v>4</v>
      </c>
    </row>
    <row r="107" spans="1:3" x14ac:dyDescent="0.25">
      <c r="A107" s="5" t="s">
        <v>769</v>
      </c>
      <c r="B107" s="2">
        <v>1200</v>
      </c>
      <c r="C107" s="6">
        <v>4</v>
      </c>
    </row>
    <row r="108" spans="1:3" x14ac:dyDescent="0.25">
      <c r="A108" s="5" t="s">
        <v>682</v>
      </c>
      <c r="B108" s="2">
        <v>1200</v>
      </c>
      <c r="C108" s="6">
        <v>4</v>
      </c>
    </row>
    <row r="109" spans="1:3" x14ac:dyDescent="0.25">
      <c r="A109" s="5" t="s">
        <v>770</v>
      </c>
      <c r="B109" s="2">
        <v>1200</v>
      </c>
      <c r="C109" s="6">
        <v>4</v>
      </c>
    </row>
    <row r="110" spans="1:3" x14ac:dyDescent="0.25">
      <c r="A110" s="5" t="s">
        <v>852</v>
      </c>
      <c r="B110" s="2">
        <v>1200</v>
      </c>
      <c r="C110" s="6">
        <v>4</v>
      </c>
    </row>
    <row r="111" spans="1:3" x14ac:dyDescent="0.25">
      <c r="A111" s="5" t="s">
        <v>941</v>
      </c>
      <c r="B111" s="2">
        <v>1200</v>
      </c>
      <c r="C111" s="6">
        <v>4</v>
      </c>
    </row>
    <row r="112" spans="1:3" x14ac:dyDescent="0.25">
      <c r="A112" s="5" t="s">
        <v>742</v>
      </c>
      <c r="B112" s="2">
        <v>1200</v>
      </c>
      <c r="C112" s="6">
        <v>4</v>
      </c>
    </row>
    <row r="113" spans="1:3" x14ac:dyDescent="0.25">
      <c r="A113" s="5" t="s">
        <v>729</v>
      </c>
      <c r="B113" s="2">
        <v>1200</v>
      </c>
      <c r="C113" s="6">
        <v>4</v>
      </c>
    </row>
    <row r="114" spans="1:3" x14ac:dyDescent="0.25">
      <c r="A114" s="5" t="s">
        <v>860</v>
      </c>
      <c r="B114" s="2">
        <v>1200</v>
      </c>
      <c r="C114" s="6">
        <v>4</v>
      </c>
    </row>
    <row r="115" spans="1:3" x14ac:dyDescent="0.25">
      <c r="A115" s="5" t="s">
        <v>695</v>
      </c>
      <c r="B115" s="2">
        <v>1200</v>
      </c>
      <c r="C115" s="6">
        <v>4</v>
      </c>
    </row>
    <row r="116" spans="1:3" x14ac:dyDescent="0.25">
      <c r="A116" s="5" t="s">
        <v>813</v>
      </c>
      <c r="B116" s="2">
        <v>1200</v>
      </c>
      <c r="C116" s="6">
        <v>4</v>
      </c>
    </row>
    <row r="117" spans="1:3" x14ac:dyDescent="0.25">
      <c r="A117" s="5" t="s">
        <v>841</v>
      </c>
      <c r="B117" s="2">
        <v>1200</v>
      </c>
      <c r="C117" s="6">
        <v>4</v>
      </c>
    </row>
    <row r="118" spans="1:3" x14ac:dyDescent="0.25">
      <c r="A118" s="5" t="s">
        <v>566</v>
      </c>
      <c r="B118" s="2">
        <v>1200</v>
      </c>
      <c r="C118" s="6">
        <v>4</v>
      </c>
    </row>
    <row r="119" spans="1:3" x14ac:dyDescent="0.25">
      <c r="A119" s="5" t="s">
        <v>494</v>
      </c>
      <c r="B119" s="2">
        <v>1200</v>
      </c>
      <c r="C119" s="6">
        <v>4</v>
      </c>
    </row>
    <row r="120" spans="1:3" x14ac:dyDescent="0.25">
      <c r="A120" s="5" t="s">
        <v>627</v>
      </c>
      <c r="B120" s="2">
        <v>1200</v>
      </c>
      <c r="C120" s="6">
        <v>4</v>
      </c>
    </row>
    <row r="121" spans="1:3" x14ac:dyDescent="0.25">
      <c r="A121" s="5" t="s">
        <v>418</v>
      </c>
      <c r="B121" s="2">
        <v>1200</v>
      </c>
      <c r="C121" s="6">
        <v>4</v>
      </c>
    </row>
    <row r="122" spans="1:3" x14ac:dyDescent="0.25">
      <c r="A122" s="5" t="s">
        <v>497</v>
      </c>
      <c r="B122" s="2">
        <v>1200</v>
      </c>
      <c r="C122" s="6">
        <v>4</v>
      </c>
    </row>
    <row r="123" spans="1:3" x14ac:dyDescent="0.25">
      <c r="A123" s="5" t="s">
        <v>381</v>
      </c>
      <c r="B123" s="2">
        <v>1200</v>
      </c>
      <c r="C123" s="6">
        <v>4</v>
      </c>
    </row>
    <row r="124" spans="1:3" x14ac:dyDescent="0.25">
      <c r="A124" s="5" t="s">
        <v>600</v>
      </c>
      <c r="B124" s="2">
        <v>1200</v>
      </c>
      <c r="C124" s="6">
        <v>4</v>
      </c>
    </row>
    <row r="125" spans="1:3" x14ac:dyDescent="0.25">
      <c r="A125" s="5" t="s">
        <v>437</v>
      </c>
      <c r="B125" s="2">
        <v>1200</v>
      </c>
      <c r="C125" s="6">
        <v>4</v>
      </c>
    </row>
    <row r="126" spans="1:3" x14ac:dyDescent="0.25">
      <c r="A126" s="5" t="s">
        <v>676</v>
      </c>
      <c r="B126" s="2">
        <v>1200</v>
      </c>
      <c r="C126" s="6">
        <v>4</v>
      </c>
    </row>
    <row r="127" spans="1:3" x14ac:dyDescent="0.25">
      <c r="A127" s="5" t="s">
        <v>444</v>
      </c>
      <c r="B127" s="2">
        <v>1200</v>
      </c>
      <c r="C127" s="6">
        <v>4</v>
      </c>
    </row>
    <row r="128" spans="1:3" x14ac:dyDescent="0.25">
      <c r="A128" s="5" t="s">
        <v>495</v>
      </c>
      <c r="B128" s="2">
        <v>1200</v>
      </c>
      <c r="C128" s="6">
        <v>4</v>
      </c>
    </row>
    <row r="129" spans="1:3" x14ac:dyDescent="0.25">
      <c r="A129" s="5" t="s">
        <v>450</v>
      </c>
      <c r="B129" s="2">
        <v>1200</v>
      </c>
      <c r="C129" s="6">
        <v>4</v>
      </c>
    </row>
    <row r="130" spans="1:3" x14ac:dyDescent="0.25">
      <c r="A130" s="5" t="s">
        <v>374</v>
      </c>
      <c r="B130" s="2">
        <v>1200</v>
      </c>
      <c r="C130" s="6">
        <v>4</v>
      </c>
    </row>
    <row r="131" spans="1:3" x14ac:dyDescent="0.25">
      <c r="A131" s="5" t="s">
        <v>454</v>
      </c>
      <c r="B131" s="2">
        <v>1200</v>
      </c>
      <c r="C131" s="6">
        <v>4</v>
      </c>
    </row>
    <row r="132" spans="1:3" x14ac:dyDescent="0.25">
      <c r="A132" s="5" t="s">
        <v>572</v>
      </c>
      <c r="B132" s="2">
        <v>1200</v>
      </c>
      <c r="C132" s="6">
        <v>4</v>
      </c>
    </row>
    <row r="133" spans="1:3" x14ac:dyDescent="0.25">
      <c r="A133" s="5" t="s">
        <v>353</v>
      </c>
      <c r="B133" s="2">
        <v>1200</v>
      </c>
      <c r="C133" s="6">
        <v>4</v>
      </c>
    </row>
    <row r="134" spans="1:3" x14ac:dyDescent="0.25">
      <c r="A134" s="5" t="s">
        <v>610</v>
      </c>
      <c r="B134" s="2">
        <v>1200</v>
      </c>
      <c r="C134" s="6">
        <v>4</v>
      </c>
    </row>
    <row r="135" spans="1:3" x14ac:dyDescent="0.25">
      <c r="A135" s="5" t="s">
        <v>472</v>
      </c>
      <c r="B135" s="2">
        <v>1200</v>
      </c>
      <c r="C135" s="6">
        <v>4</v>
      </c>
    </row>
    <row r="136" spans="1:3" x14ac:dyDescent="0.25">
      <c r="A136" s="5" t="s">
        <v>661</v>
      </c>
      <c r="B136" s="2">
        <v>1200</v>
      </c>
      <c r="C136" s="6">
        <v>4</v>
      </c>
    </row>
    <row r="137" spans="1:3" x14ac:dyDescent="0.25">
      <c r="A137" s="5" t="s">
        <v>475</v>
      </c>
      <c r="B137" s="2">
        <v>1200</v>
      </c>
      <c r="C137" s="6">
        <v>4</v>
      </c>
    </row>
    <row r="138" spans="1:3" x14ac:dyDescent="0.25">
      <c r="A138" s="5" t="s">
        <v>492</v>
      </c>
      <c r="B138" s="2">
        <v>1200</v>
      </c>
      <c r="C138" s="6">
        <v>4</v>
      </c>
    </row>
    <row r="139" spans="1:3" x14ac:dyDescent="0.25">
      <c r="A139" s="5" t="s">
        <v>537</v>
      </c>
      <c r="B139" s="2">
        <v>1200</v>
      </c>
      <c r="C139" s="6">
        <v>4</v>
      </c>
    </row>
    <row r="140" spans="1:3" x14ac:dyDescent="0.25">
      <c r="A140" s="5" t="s">
        <v>321</v>
      </c>
      <c r="B140" s="2">
        <v>1200</v>
      </c>
      <c r="C140" s="6">
        <v>4</v>
      </c>
    </row>
    <row r="141" spans="1:3" x14ac:dyDescent="0.25">
      <c r="A141" s="5" t="s">
        <v>305</v>
      </c>
      <c r="B141" s="2">
        <v>1200</v>
      </c>
      <c r="C141" s="6">
        <v>4</v>
      </c>
    </row>
    <row r="142" spans="1:3" x14ac:dyDescent="0.25">
      <c r="A142" s="5" t="s">
        <v>346</v>
      </c>
      <c r="B142" s="2">
        <v>1200</v>
      </c>
      <c r="C142" s="6">
        <v>4</v>
      </c>
    </row>
    <row r="143" spans="1:3" x14ac:dyDescent="0.25">
      <c r="A143" s="5" t="s">
        <v>71</v>
      </c>
      <c r="B143" s="2">
        <v>1200</v>
      </c>
      <c r="C143" s="6">
        <v>4</v>
      </c>
    </row>
    <row r="144" spans="1:3" x14ac:dyDescent="0.25">
      <c r="A144" s="5" t="s">
        <v>311</v>
      </c>
      <c r="B144" s="2">
        <v>1200</v>
      </c>
      <c r="C144" s="6">
        <v>4</v>
      </c>
    </row>
    <row r="145" spans="1:3" x14ac:dyDescent="0.25">
      <c r="A145" s="5" t="s">
        <v>80</v>
      </c>
      <c r="B145" s="2">
        <v>1200</v>
      </c>
      <c r="C145" s="6">
        <v>4</v>
      </c>
    </row>
    <row r="146" spans="1:3" x14ac:dyDescent="0.25">
      <c r="A146" s="5" t="s">
        <v>120</v>
      </c>
      <c r="B146" s="2">
        <v>1200</v>
      </c>
      <c r="C146" s="6">
        <v>4</v>
      </c>
    </row>
    <row r="147" spans="1:3" x14ac:dyDescent="0.25">
      <c r="A147" s="5" t="s">
        <v>215</v>
      </c>
      <c r="B147" s="2">
        <v>1200</v>
      </c>
      <c r="C147" s="6">
        <v>4</v>
      </c>
    </row>
    <row r="148" spans="1:3" x14ac:dyDescent="0.25">
      <c r="A148" s="5" t="s">
        <v>59</v>
      </c>
      <c r="B148" s="2">
        <v>1200</v>
      </c>
      <c r="C148" s="6">
        <v>4</v>
      </c>
    </row>
    <row r="149" spans="1:3" x14ac:dyDescent="0.25">
      <c r="A149" s="5" t="s">
        <v>155</v>
      </c>
      <c r="B149" s="2">
        <v>1200</v>
      </c>
      <c r="C149" s="6">
        <v>4</v>
      </c>
    </row>
    <row r="150" spans="1:3" x14ac:dyDescent="0.25">
      <c r="A150" s="5" t="s">
        <v>309</v>
      </c>
      <c r="B150" s="2">
        <v>1200</v>
      </c>
      <c r="C150" s="6">
        <v>4</v>
      </c>
    </row>
    <row r="151" spans="1:3" x14ac:dyDescent="0.25">
      <c r="A151" s="5" t="s">
        <v>44</v>
      </c>
      <c r="B151" s="2">
        <v>1200</v>
      </c>
      <c r="C151" s="6">
        <v>4</v>
      </c>
    </row>
    <row r="152" spans="1:3" x14ac:dyDescent="0.25">
      <c r="A152" s="5" t="s">
        <v>194</v>
      </c>
      <c r="B152" s="2">
        <v>1200</v>
      </c>
      <c r="C152" s="6">
        <v>4</v>
      </c>
    </row>
    <row r="153" spans="1:3" x14ac:dyDescent="0.25">
      <c r="A153" s="5" t="s">
        <v>112</v>
      </c>
      <c r="B153" s="2">
        <v>1200</v>
      </c>
      <c r="C153" s="6">
        <v>4</v>
      </c>
    </row>
    <row r="154" spans="1:3" x14ac:dyDescent="0.25">
      <c r="A154" s="5" t="s">
        <v>333</v>
      </c>
      <c r="B154" s="2">
        <v>1200</v>
      </c>
      <c r="C154" s="6">
        <v>4</v>
      </c>
    </row>
    <row r="155" spans="1:3" x14ac:dyDescent="0.25">
      <c r="A155" s="5" t="s">
        <v>178</v>
      </c>
      <c r="B155" s="2">
        <v>1200</v>
      </c>
      <c r="C155" s="6">
        <v>4</v>
      </c>
    </row>
    <row r="156" spans="1:3" x14ac:dyDescent="0.25">
      <c r="A156" s="5" t="s">
        <v>345</v>
      </c>
      <c r="B156" s="2">
        <v>1200</v>
      </c>
      <c r="C156" s="6">
        <v>4</v>
      </c>
    </row>
    <row r="157" spans="1:3" x14ac:dyDescent="0.25">
      <c r="A157" s="5" t="s">
        <v>866</v>
      </c>
      <c r="B157" s="2">
        <v>1000</v>
      </c>
      <c r="C157" s="6">
        <v>2</v>
      </c>
    </row>
    <row r="158" spans="1:3" x14ac:dyDescent="0.25">
      <c r="A158" s="5" t="s">
        <v>979</v>
      </c>
      <c r="B158" s="2">
        <v>1000</v>
      </c>
      <c r="C158" s="6">
        <v>2</v>
      </c>
    </row>
    <row r="159" spans="1:3" x14ac:dyDescent="0.25">
      <c r="A159" s="5" t="s">
        <v>893</v>
      </c>
      <c r="B159" s="2">
        <v>1000</v>
      </c>
      <c r="C159" s="6">
        <v>2</v>
      </c>
    </row>
    <row r="160" spans="1:3" x14ac:dyDescent="0.25">
      <c r="A160" s="5" t="s">
        <v>829</v>
      </c>
      <c r="B160" s="2">
        <v>1000</v>
      </c>
      <c r="C160" s="6">
        <v>2</v>
      </c>
    </row>
    <row r="161" spans="1:3" x14ac:dyDescent="0.25">
      <c r="A161" s="5" t="s">
        <v>863</v>
      </c>
      <c r="B161" s="2">
        <v>1000</v>
      </c>
      <c r="C161" s="6">
        <v>2</v>
      </c>
    </row>
    <row r="162" spans="1:3" x14ac:dyDescent="0.25">
      <c r="A162" s="5" t="s">
        <v>1003</v>
      </c>
      <c r="B162" s="2">
        <v>1000</v>
      </c>
      <c r="C162" s="6">
        <v>2</v>
      </c>
    </row>
    <row r="163" spans="1:3" x14ac:dyDescent="0.25">
      <c r="A163" s="5" t="s">
        <v>697</v>
      </c>
      <c r="B163" s="2">
        <v>1000</v>
      </c>
      <c r="C163" s="6">
        <v>2</v>
      </c>
    </row>
    <row r="164" spans="1:3" x14ac:dyDescent="0.25">
      <c r="A164" s="5" t="s">
        <v>1007</v>
      </c>
      <c r="B164" s="2">
        <v>1000</v>
      </c>
      <c r="C164" s="6">
        <v>2</v>
      </c>
    </row>
    <row r="165" spans="1:3" x14ac:dyDescent="0.25">
      <c r="A165" s="5" t="s">
        <v>792</v>
      </c>
      <c r="B165" s="2">
        <v>1000</v>
      </c>
      <c r="C165" s="6">
        <v>2</v>
      </c>
    </row>
    <row r="166" spans="1:3" x14ac:dyDescent="0.25">
      <c r="A166" s="5" t="s">
        <v>696</v>
      </c>
      <c r="B166" s="2">
        <v>1000</v>
      </c>
      <c r="C166" s="6">
        <v>2</v>
      </c>
    </row>
    <row r="167" spans="1:3" x14ac:dyDescent="0.25">
      <c r="A167" s="5" t="s">
        <v>999</v>
      </c>
      <c r="B167" s="2">
        <v>1000</v>
      </c>
      <c r="C167" s="6">
        <v>2</v>
      </c>
    </row>
    <row r="168" spans="1:3" x14ac:dyDescent="0.25">
      <c r="A168" s="5" t="s">
        <v>745</v>
      </c>
      <c r="B168" s="2">
        <v>1000</v>
      </c>
      <c r="C168" s="6">
        <v>2</v>
      </c>
    </row>
    <row r="169" spans="1:3" x14ac:dyDescent="0.25">
      <c r="A169" s="5" t="s">
        <v>722</v>
      </c>
      <c r="B169" s="2">
        <v>1000</v>
      </c>
      <c r="C169" s="6">
        <v>2</v>
      </c>
    </row>
    <row r="170" spans="1:3" x14ac:dyDescent="0.25">
      <c r="A170" s="5" t="s">
        <v>406</v>
      </c>
      <c r="B170" s="2">
        <v>1000</v>
      </c>
      <c r="C170" s="6">
        <v>2</v>
      </c>
    </row>
    <row r="171" spans="1:3" x14ac:dyDescent="0.25">
      <c r="A171" s="5" t="s">
        <v>365</v>
      </c>
      <c r="B171" s="2">
        <v>1000</v>
      </c>
      <c r="C171" s="6">
        <v>2</v>
      </c>
    </row>
    <row r="172" spans="1:3" x14ac:dyDescent="0.25">
      <c r="A172" s="5" t="s">
        <v>675</v>
      </c>
      <c r="B172" s="2">
        <v>1000</v>
      </c>
      <c r="C172" s="6">
        <v>2</v>
      </c>
    </row>
    <row r="173" spans="1:3" x14ac:dyDescent="0.25">
      <c r="A173" s="5" t="s">
        <v>466</v>
      </c>
      <c r="B173" s="2">
        <v>1000</v>
      </c>
      <c r="C173" s="6">
        <v>2</v>
      </c>
    </row>
    <row r="174" spans="1:3" x14ac:dyDescent="0.25">
      <c r="A174" s="5" t="s">
        <v>613</v>
      </c>
      <c r="B174" s="2">
        <v>1000</v>
      </c>
      <c r="C174" s="6">
        <v>2</v>
      </c>
    </row>
    <row r="175" spans="1:3" x14ac:dyDescent="0.25">
      <c r="A175" s="5" t="s">
        <v>474</v>
      </c>
      <c r="B175" s="2">
        <v>1000</v>
      </c>
      <c r="C175" s="6">
        <v>2</v>
      </c>
    </row>
    <row r="176" spans="1:3" x14ac:dyDescent="0.25">
      <c r="A176" s="5" t="s">
        <v>408</v>
      </c>
      <c r="B176" s="2">
        <v>1000</v>
      </c>
      <c r="C176" s="6">
        <v>2</v>
      </c>
    </row>
    <row r="177" spans="1:3" x14ac:dyDescent="0.25">
      <c r="A177" s="5" t="s">
        <v>483</v>
      </c>
      <c r="B177" s="2">
        <v>1000</v>
      </c>
      <c r="C177" s="6">
        <v>2</v>
      </c>
    </row>
    <row r="178" spans="1:3" x14ac:dyDescent="0.25">
      <c r="A178" s="5" t="s">
        <v>445</v>
      </c>
      <c r="B178" s="2">
        <v>1000</v>
      </c>
      <c r="C178" s="6">
        <v>2</v>
      </c>
    </row>
    <row r="179" spans="1:3" x14ac:dyDescent="0.25">
      <c r="A179" s="5" t="s">
        <v>431</v>
      </c>
      <c r="B179" s="2">
        <v>1000</v>
      </c>
      <c r="C179" s="6">
        <v>2</v>
      </c>
    </row>
    <row r="180" spans="1:3" x14ac:dyDescent="0.25">
      <c r="A180" s="5" t="s">
        <v>602</v>
      </c>
      <c r="B180" s="2">
        <v>1000</v>
      </c>
      <c r="C180" s="6">
        <v>2</v>
      </c>
    </row>
    <row r="181" spans="1:3" x14ac:dyDescent="0.25">
      <c r="A181" s="5" t="s">
        <v>417</v>
      </c>
      <c r="B181" s="2">
        <v>1000</v>
      </c>
      <c r="C181" s="6">
        <v>2</v>
      </c>
    </row>
    <row r="182" spans="1:3" x14ac:dyDescent="0.25">
      <c r="A182" s="5" t="s">
        <v>618</v>
      </c>
      <c r="B182" s="2">
        <v>1000</v>
      </c>
      <c r="C182" s="6">
        <v>2</v>
      </c>
    </row>
    <row r="183" spans="1:3" x14ac:dyDescent="0.25">
      <c r="A183" s="5" t="s">
        <v>359</v>
      </c>
      <c r="B183" s="2">
        <v>1000</v>
      </c>
      <c r="C183" s="6">
        <v>2</v>
      </c>
    </row>
    <row r="184" spans="1:3" x14ac:dyDescent="0.25">
      <c r="A184" s="5" t="s">
        <v>634</v>
      </c>
      <c r="B184" s="2">
        <v>1000</v>
      </c>
      <c r="C184" s="6">
        <v>2</v>
      </c>
    </row>
    <row r="185" spans="1:3" x14ac:dyDescent="0.25">
      <c r="A185" s="5" t="s">
        <v>395</v>
      </c>
      <c r="B185" s="2">
        <v>1000</v>
      </c>
      <c r="C185" s="6">
        <v>2</v>
      </c>
    </row>
    <row r="186" spans="1:3" x14ac:dyDescent="0.25">
      <c r="A186" s="5" t="s">
        <v>673</v>
      </c>
      <c r="B186" s="2">
        <v>1000</v>
      </c>
      <c r="C186" s="6">
        <v>2</v>
      </c>
    </row>
    <row r="187" spans="1:3" x14ac:dyDescent="0.25">
      <c r="A187" s="5" t="s">
        <v>547</v>
      </c>
      <c r="B187" s="2">
        <v>1000</v>
      </c>
      <c r="C187" s="6">
        <v>2</v>
      </c>
    </row>
    <row r="188" spans="1:3" x14ac:dyDescent="0.25">
      <c r="A188" s="5" t="s">
        <v>310</v>
      </c>
      <c r="B188" s="2">
        <v>1000</v>
      </c>
      <c r="C188" s="6">
        <v>2</v>
      </c>
    </row>
    <row r="189" spans="1:3" x14ac:dyDescent="0.25">
      <c r="A189" s="5" t="s">
        <v>12</v>
      </c>
      <c r="B189" s="2">
        <v>1000</v>
      </c>
      <c r="C189" s="6">
        <v>2</v>
      </c>
    </row>
    <row r="190" spans="1:3" x14ac:dyDescent="0.25">
      <c r="A190" s="5" t="s">
        <v>248</v>
      </c>
      <c r="B190" s="2">
        <v>1000</v>
      </c>
      <c r="C190" s="6">
        <v>2</v>
      </c>
    </row>
    <row r="191" spans="1:3" x14ac:dyDescent="0.25">
      <c r="A191" s="5" t="s">
        <v>117</v>
      </c>
      <c r="B191" s="2">
        <v>1000</v>
      </c>
      <c r="C191" s="6">
        <v>2</v>
      </c>
    </row>
    <row r="192" spans="1:3" x14ac:dyDescent="0.25">
      <c r="A192" s="5" t="s">
        <v>287</v>
      </c>
      <c r="B192" s="2">
        <v>1000</v>
      </c>
      <c r="C192" s="6">
        <v>2</v>
      </c>
    </row>
    <row r="193" spans="1:3" x14ac:dyDescent="0.25">
      <c r="A193" s="5" t="s">
        <v>130</v>
      </c>
      <c r="B193" s="2">
        <v>1000</v>
      </c>
      <c r="C193" s="6">
        <v>2</v>
      </c>
    </row>
    <row r="194" spans="1:3" x14ac:dyDescent="0.25">
      <c r="A194" s="5" t="s">
        <v>107</v>
      </c>
      <c r="B194" s="2">
        <v>1000</v>
      </c>
      <c r="C194" s="6">
        <v>2</v>
      </c>
    </row>
    <row r="195" spans="1:3" x14ac:dyDescent="0.25">
      <c r="A195" s="5" t="s">
        <v>150</v>
      </c>
      <c r="B195" s="2">
        <v>1000</v>
      </c>
      <c r="C195" s="6">
        <v>2</v>
      </c>
    </row>
    <row r="196" spans="1:3" x14ac:dyDescent="0.25">
      <c r="A196" s="5" t="s">
        <v>250</v>
      </c>
      <c r="B196" s="2">
        <v>1000</v>
      </c>
      <c r="C196" s="6">
        <v>2</v>
      </c>
    </row>
    <row r="197" spans="1:3" x14ac:dyDescent="0.25">
      <c r="A197" s="5" t="s">
        <v>166</v>
      </c>
      <c r="B197" s="2">
        <v>1000</v>
      </c>
      <c r="C197" s="6">
        <v>2</v>
      </c>
    </row>
    <row r="198" spans="1:3" x14ac:dyDescent="0.25">
      <c r="A198" s="5" t="s">
        <v>269</v>
      </c>
      <c r="B198" s="2">
        <v>1000</v>
      </c>
      <c r="C198" s="6">
        <v>2</v>
      </c>
    </row>
    <row r="199" spans="1:3" x14ac:dyDescent="0.25">
      <c r="A199" s="5" t="s">
        <v>174</v>
      </c>
      <c r="B199" s="2">
        <v>1000</v>
      </c>
      <c r="C199" s="6">
        <v>2</v>
      </c>
    </row>
    <row r="200" spans="1:3" x14ac:dyDescent="0.25">
      <c r="A200" s="5" t="s">
        <v>288</v>
      </c>
      <c r="B200" s="2">
        <v>1000</v>
      </c>
      <c r="C200" s="6">
        <v>2</v>
      </c>
    </row>
    <row r="201" spans="1:3" x14ac:dyDescent="0.25">
      <c r="A201" s="5" t="s">
        <v>62</v>
      </c>
      <c r="B201" s="2">
        <v>1000</v>
      </c>
      <c r="C201" s="6">
        <v>2</v>
      </c>
    </row>
    <row r="202" spans="1:3" x14ac:dyDescent="0.25">
      <c r="A202" s="5" t="s">
        <v>312</v>
      </c>
      <c r="B202" s="2">
        <v>1000</v>
      </c>
      <c r="C202" s="6">
        <v>2</v>
      </c>
    </row>
    <row r="203" spans="1:3" x14ac:dyDescent="0.25">
      <c r="A203" s="5" t="s">
        <v>39</v>
      </c>
      <c r="B203" s="2">
        <v>1000</v>
      </c>
      <c r="C203" s="6">
        <v>2</v>
      </c>
    </row>
    <row r="204" spans="1:3" x14ac:dyDescent="0.25">
      <c r="A204" s="5" t="s">
        <v>216</v>
      </c>
      <c r="B204" s="2">
        <v>1000</v>
      </c>
      <c r="C204" s="6">
        <v>2</v>
      </c>
    </row>
    <row r="205" spans="1:3" x14ac:dyDescent="0.25">
      <c r="A205" s="5" t="s">
        <v>110</v>
      </c>
      <c r="B205" s="2">
        <v>1000</v>
      </c>
      <c r="C205" s="6">
        <v>2</v>
      </c>
    </row>
    <row r="206" spans="1:3" x14ac:dyDescent="0.25">
      <c r="A206" s="5" t="s">
        <v>963</v>
      </c>
      <c r="B206" s="2">
        <v>900</v>
      </c>
      <c r="C206" s="6">
        <v>3</v>
      </c>
    </row>
    <row r="207" spans="1:3" x14ac:dyDescent="0.25">
      <c r="A207" s="5" t="s">
        <v>936</v>
      </c>
      <c r="B207" s="2">
        <v>900</v>
      </c>
      <c r="C207" s="6">
        <v>3</v>
      </c>
    </row>
    <row r="208" spans="1:3" x14ac:dyDescent="0.25">
      <c r="A208" s="5" t="s">
        <v>981</v>
      </c>
      <c r="B208" s="2">
        <v>900</v>
      </c>
      <c r="C208" s="6">
        <v>3</v>
      </c>
    </row>
    <row r="209" spans="1:3" x14ac:dyDescent="0.25">
      <c r="A209" s="5" t="s">
        <v>735</v>
      </c>
      <c r="B209" s="2">
        <v>900</v>
      </c>
      <c r="C209" s="6">
        <v>3</v>
      </c>
    </row>
    <row r="210" spans="1:3" x14ac:dyDescent="0.25">
      <c r="A210" s="5" t="s">
        <v>779</v>
      </c>
      <c r="B210" s="2">
        <v>900</v>
      </c>
      <c r="C210" s="6">
        <v>3</v>
      </c>
    </row>
    <row r="211" spans="1:3" x14ac:dyDescent="0.25">
      <c r="A211" s="5" t="s">
        <v>721</v>
      </c>
      <c r="B211" s="2">
        <v>900</v>
      </c>
      <c r="C211" s="6">
        <v>3</v>
      </c>
    </row>
    <row r="212" spans="1:3" x14ac:dyDescent="0.25">
      <c r="A212" s="5" t="s">
        <v>795</v>
      </c>
      <c r="B212" s="2">
        <v>900</v>
      </c>
      <c r="C212" s="6">
        <v>3</v>
      </c>
    </row>
    <row r="213" spans="1:3" x14ac:dyDescent="0.25">
      <c r="A213" s="5" t="s">
        <v>740</v>
      </c>
      <c r="B213" s="2">
        <v>900</v>
      </c>
      <c r="C213" s="6">
        <v>3</v>
      </c>
    </row>
    <row r="214" spans="1:3" x14ac:dyDescent="0.25">
      <c r="A214" s="5" t="s">
        <v>924</v>
      </c>
      <c r="B214" s="2">
        <v>900</v>
      </c>
      <c r="C214" s="6">
        <v>3</v>
      </c>
    </row>
    <row r="215" spans="1:3" x14ac:dyDescent="0.25">
      <c r="A215" s="5" t="s">
        <v>819</v>
      </c>
      <c r="B215" s="2">
        <v>900</v>
      </c>
      <c r="C215" s="6">
        <v>3</v>
      </c>
    </row>
    <row r="216" spans="1:3" x14ac:dyDescent="0.25">
      <c r="A216" s="5" t="s">
        <v>703</v>
      </c>
      <c r="B216" s="2">
        <v>900</v>
      </c>
      <c r="C216" s="6">
        <v>3</v>
      </c>
    </row>
    <row r="217" spans="1:3" x14ac:dyDescent="0.25">
      <c r="A217" s="5" t="s">
        <v>691</v>
      </c>
      <c r="B217" s="2">
        <v>900</v>
      </c>
      <c r="C217" s="6">
        <v>3</v>
      </c>
    </row>
    <row r="218" spans="1:3" x14ac:dyDescent="0.25">
      <c r="A218" s="5" t="s">
        <v>693</v>
      </c>
      <c r="B218" s="2">
        <v>900</v>
      </c>
      <c r="C218" s="6">
        <v>3</v>
      </c>
    </row>
    <row r="219" spans="1:3" x14ac:dyDescent="0.25">
      <c r="A219" s="5" t="s">
        <v>1000</v>
      </c>
      <c r="B219" s="2">
        <v>900</v>
      </c>
      <c r="C219" s="6">
        <v>3</v>
      </c>
    </row>
    <row r="220" spans="1:3" x14ac:dyDescent="0.25">
      <c r="A220" s="5" t="s">
        <v>967</v>
      </c>
      <c r="B220" s="2">
        <v>900</v>
      </c>
      <c r="C220" s="6">
        <v>3</v>
      </c>
    </row>
    <row r="221" spans="1:3" x14ac:dyDescent="0.25">
      <c r="A221" s="5" t="s">
        <v>899</v>
      </c>
      <c r="B221" s="2">
        <v>900</v>
      </c>
      <c r="C221" s="6">
        <v>3</v>
      </c>
    </row>
    <row r="222" spans="1:3" x14ac:dyDescent="0.25">
      <c r="A222" s="5" t="s">
        <v>977</v>
      </c>
      <c r="B222" s="2">
        <v>900</v>
      </c>
      <c r="C222" s="6">
        <v>3</v>
      </c>
    </row>
    <row r="223" spans="1:3" x14ac:dyDescent="0.25">
      <c r="A223" s="5" t="s">
        <v>904</v>
      </c>
      <c r="B223" s="2">
        <v>900</v>
      </c>
      <c r="C223" s="6">
        <v>3</v>
      </c>
    </row>
    <row r="224" spans="1:3" x14ac:dyDescent="0.25">
      <c r="A224" s="5" t="s">
        <v>982</v>
      </c>
      <c r="B224" s="2">
        <v>900</v>
      </c>
      <c r="C224" s="6">
        <v>3</v>
      </c>
    </row>
    <row r="225" spans="1:3" x14ac:dyDescent="0.25">
      <c r="A225" s="5" t="s">
        <v>840</v>
      </c>
      <c r="B225" s="2">
        <v>900</v>
      </c>
      <c r="C225" s="6">
        <v>3</v>
      </c>
    </row>
    <row r="226" spans="1:3" x14ac:dyDescent="0.25">
      <c r="A226" s="5" t="s">
        <v>801</v>
      </c>
      <c r="B226" s="2">
        <v>900</v>
      </c>
      <c r="C226" s="6">
        <v>3</v>
      </c>
    </row>
    <row r="227" spans="1:3" x14ac:dyDescent="0.25">
      <c r="A227" s="5" t="s">
        <v>637</v>
      </c>
      <c r="B227" s="2">
        <v>900</v>
      </c>
      <c r="C227" s="6">
        <v>3</v>
      </c>
    </row>
    <row r="228" spans="1:3" x14ac:dyDescent="0.25">
      <c r="A228" s="5" t="s">
        <v>347</v>
      </c>
      <c r="B228" s="2">
        <v>900</v>
      </c>
      <c r="C228" s="6">
        <v>3</v>
      </c>
    </row>
    <row r="229" spans="1:3" x14ac:dyDescent="0.25">
      <c r="A229" s="5" t="s">
        <v>504</v>
      </c>
      <c r="B229" s="2">
        <v>900</v>
      </c>
      <c r="C229" s="6">
        <v>3</v>
      </c>
    </row>
    <row r="230" spans="1:3" x14ac:dyDescent="0.25">
      <c r="A230" s="5" t="s">
        <v>563</v>
      </c>
      <c r="B230" s="2">
        <v>900</v>
      </c>
      <c r="C230" s="6">
        <v>3</v>
      </c>
    </row>
    <row r="231" spans="1:3" x14ac:dyDescent="0.25">
      <c r="A231" s="5" t="s">
        <v>522</v>
      </c>
      <c r="B231" s="2">
        <v>900</v>
      </c>
      <c r="C231" s="6">
        <v>3</v>
      </c>
    </row>
    <row r="232" spans="1:3" x14ac:dyDescent="0.25">
      <c r="A232" s="5" t="s">
        <v>422</v>
      </c>
      <c r="B232" s="2">
        <v>900</v>
      </c>
      <c r="C232" s="6">
        <v>3</v>
      </c>
    </row>
    <row r="233" spans="1:3" x14ac:dyDescent="0.25">
      <c r="A233" s="5" t="s">
        <v>470</v>
      </c>
      <c r="B233" s="2">
        <v>900</v>
      </c>
      <c r="C233" s="6">
        <v>3</v>
      </c>
    </row>
    <row r="234" spans="1:3" x14ac:dyDescent="0.25">
      <c r="A234" s="5" t="s">
        <v>485</v>
      </c>
      <c r="B234" s="2">
        <v>900</v>
      </c>
      <c r="C234" s="6">
        <v>3</v>
      </c>
    </row>
    <row r="235" spans="1:3" x14ac:dyDescent="0.25">
      <c r="A235" s="5" t="s">
        <v>603</v>
      </c>
      <c r="B235" s="2">
        <v>900</v>
      </c>
      <c r="C235" s="6">
        <v>3</v>
      </c>
    </row>
    <row r="236" spans="1:3" x14ac:dyDescent="0.25">
      <c r="A236" s="5" t="s">
        <v>448</v>
      </c>
      <c r="B236" s="2">
        <v>900</v>
      </c>
      <c r="C236" s="6">
        <v>3</v>
      </c>
    </row>
    <row r="237" spans="1:3" x14ac:dyDescent="0.25">
      <c r="A237" s="5" t="s">
        <v>430</v>
      </c>
      <c r="B237" s="2">
        <v>900</v>
      </c>
      <c r="C237" s="6">
        <v>3</v>
      </c>
    </row>
    <row r="238" spans="1:3" x14ac:dyDescent="0.25">
      <c r="A238" s="5" t="s">
        <v>501</v>
      </c>
      <c r="B238" s="2">
        <v>900</v>
      </c>
      <c r="C238" s="6">
        <v>3</v>
      </c>
    </row>
    <row r="239" spans="1:3" x14ac:dyDescent="0.25">
      <c r="A239" s="5" t="s">
        <v>528</v>
      </c>
      <c r="B239" s="2">
        <v>900</v>
      </c>
      <c r="C239" s="6">
        <v>3</v>
      </c>
    </row>
    <row r="240" spans="1:3" x14ac:dyDescent="0.25">
      <c r="A240" s="5" t="s">
        <v>580</v>
      </c>
      <c r="B240" s="2">
        <v>900</v>
      </c>
      <c r="C240" s="6">
        <v>3</v>
      </c>
    </row>
    <row r="241" spans="1:3" x14ac:dyDescent="0.25">
      <c r="A241" s="5" t="s">
        <v>648</v>
      </c>
      <c r="B241" s="2">
        <v>900</v>
      </c>
      <c r="C241" s="6">
        <v>3</v>
      </c>
    </row>
    <row r="242" spans="1:3" x14ac:dyDescent="0.25">
      <c r="A242" s="5" t="s">
        <v>595</v>
      </c>
      <c r="B242" s="2">
        <v>900</v>
      </c>
      <c r="C242" s="6">
        <v>3</v>
      </c>
    </row>
    <row r="243" spans="1:3" x14ac:dyDescent="0.25">
      <c r="A243" s="5" t="s">
        <v>443</v>
      </c>
      <c r="B243" s="2">
        <v>900</v>
      </c>
      <c r="C243" s="6">
        <v>3</v>
      </c>
    </row>
    <row r="244" spans="1:3" x14ac:dyDescent="0.25">
      <c r="A244" s="5" t="s">
        <v>420</v>
      </c>
      <c r="B244" s="2">
        <v>900</v>
      </c>
      <c r="C244" s="6">
        <v>3</v>
      </c>
    </row>
    <row r="245" spans="1:3" x14ac:dyDescent="0.25">
      <c r="A245" s="5" t="s">
        <v>553</v>
      </c>
      <c r="B245" s="2">
        <v>900</v>
      </c>
      <c r="C245" s="6">
        <v>3</v>
      </c>
    </row>
    <row r="246" spans="1:3" x14ac:dyDescent="0.25">
      <c r="A246" s="5" t="s">
        <v>564</v>
      </c>
      <c r="B246" s="2">
        <v>900</v>
      </c>
      <c r="C246" s="6">
        <v>3</v>
      </c>
    </row>
    <row r="247" spans="1:3" x14ac:dyDescent="0.25">
      <c r="A247" s="5" t="s">
        <v>256</v>
      </c>
      <c r="B247" s="2">
        <v>900</v>
      </c>
      <c r="C247" s="6">
        <v>3</v>
      </c>
    </row>
    <row r="248" spans="1:3" x14ac:dyDescent="0.25">
      <c r="A248" s="5" t="s">
        <v>209</v>
      </c>
      <c r="B248" s="2">
        <v>900</v>
      </c>
      <c r="C248" s="6">
        <v>3</v>
      </c>
    </row>
    <row r="249" spans="1:3" x14ac:dyDescent="0.25">
      <c r="A249" s="5" t="s">
        <v>278</v>
      </c>
      <c r="B249" s="2">
        <v>900</v>
      </c>
      <c r="C249" s="6">
        <v>3</v>
      </c>
    </row>
    <row r="250" spans="1:3" x14ac:dyDescent="0.25">
      <c r="A250" s="5" t="s">
        <v>146</v>
      </c>
      <c r="B250" s="2">
        <v>900</v>
      </c>
      <c r="C250" s="6">
        <v>3</v>
      </c>
    </row>
    <row r="251" spans="1:3" x14ac:dyDescent="0.25">
      <c r="A251" s="5" t="s">
        <v>43</v>
      </c>
      <c r="B251" s="2">
        <v>900</v>
      </c>
      <c r="C251" s="6">
        <v>3</v>
      </c>
    </row>
    <row r="252" spans="1:3" x14ac:dyDescent="0.25">
      <c r="A252" s="5" t="s">
        <v>167</v>
      </c>
      <c r="B252" s="2">
        <v>900</v>
      </c>
      <c r="C252" s="6">
        <v>3</v>
      </c>
    </row>
    <row r="253" spans="1:3" x14ac:dyDescent="0.25">
      <c r="A253" s="5" t="s">
        <v>33</v>
      </c>
      <c r="B253" s="2">
        <v>900</v>
      </c>
      <c r="C253" s="6">
        <v>3</v>
      </c>
    </row>
    <row r="254" spans="1:3" x14ac:dyDescent="0.25">
      <c r="A254" s="5" t="s">
        <v>48</v>
      </c>
      <c r="B254" s="2">
        <v>900</v>
      </c>
      <c r="C254" s="6">
        <v>3</v>
      </c>
    </row>
    <row r="255" spans="1:3" x14ac:dyDescent="0.25">
      <c r="A255" s="5" t="s">
        <v>196</v>
      </c>
      <c r="B255" s="2">
        <v>900</v>
      </c>
      <c r="C255" s="6">
        <v>3</v>
      </c>
    </row>
    <row r="256" spans="1:3" x14ac:dyDescent="0.25">
      <c r="A256" s="5" t="s">
        <v>61</v>
      </c>
      <c r="B256" s="2">
        <v>900</v>
      </c>
      <c r="C256" s="6">
        <v>3</v>
      </c>
    </row>
    <row r="257" spans="1:3" x14ac:dyDescent="0.25">
      <c r="A257" s="5" t="s">
        <v>211</v>
      </c>
      <c r="B257" s="2">
        <v>900</v>
      </c>
      <c r="C257" s="6">
        <v>3</v>
      </c>
    </row>
    <row r="258" spans="1:3" x14ac:dyDescent="0.25">
      <c r="A258" s="5" t="s">
        <v>123</v>
      </c>
      <c r="B258" s="2">
        <v>900</v>
      </c>
      <c r="C258" s="6">
        <v>3</v>
      </c>
    </row>
    <row r="259" spans="1:3" x14ac:dyDescent="0.25">
      <c r="A259" s="5" t="s">
        <v>336</v>
      </c>
      <c r="B259" s="2">
        <v>900</v>
      </c>
      <c r="C259" s="6">
        <v>3</v>
      </c>
    </row>
    <row r="260" spans="1:3" x14ac:dyDescent="0.25">
      <c r="A260" s="5" t="s">
        <v>49</v>
      </c>
      <c r="B260" s="2">
        <v>900</v>
      </c>
      <c r="C260" s="6">
        <v>3</v>
      </c>
    </row>
    <row r="261" spans="1:3" x14ac:dyDescent="0.25">
      <c r="A261" s="5" t="s">
        <v>261</v>
      </c>
      <c r="B261" s="2">
        <v>900</v>
      </c>
      <c r="C261" s="6">
        <v>3</v>
      </c>
    </row>
    <row r="262" spans="1:3" x14ac:dyDescent="0.25">
      <c r="A262" s="5" t="s">
        <v>184</v>
      </c>
      <c r="B262" s="2">
        <v>900</v>
      </c>
      <c r="C262" s="6">
        <v>3</v>
      </c>
    </row>
    <row r="263" spans="1:3" x14ac:dyDescent="0.25">
      <c r="A263" s="5" t="s">
        <v>277</v>
      </c>
      <c r="B263" s="2">
        <v>900</v>
      </c>
      <c r="C263" s="6">
        <v>3</v>
      </c>
    </row>
    <row r="264" spans="1:3" x14ac:dyDescent="0.25">
      <c r="A264" s="5" t="s">
        <v>193</v>
      </c>
      <c r="B264" s="2">
        <v>900</v>
      </c>
      <c r="C264" s="6">
        <v>3</v>
      </c>
    </row>
    <row r="265" spans="1:3" x14ac:dyDescent="0.25">
      <c r="A265" s="5" t="s">
        <v>308</v>
      </c>
      <c r="B265" s="2">
        <v>900</v>
      </c>
      <c r="C265" s="6">
        <v>3</v>
      </c>
    </row>
    <row r="266" spans="1:3" x14ac:dyDescent="0.25">
      <c r="A266" s="5" t="s">
        <v>69</v>
      </c>
      <c r="B266" s="2">
        <v>900</v>
      </c>
      <c r="C266" s="6">
        <v>3</v>
      </c>
    </row>
    <row r="267" spans="1:3" x14ac:dyDescent="0.25">
      <c r="A267" s="5" t="s">
        <v>55</v>
      </c>
      <c r="B267" s="2">
        <v>900</v>
      </c>
      <c r="C267" s="6">
        <v>3</v>
      </c>
    </row>
    <row r="268" spans="1:3" x14ac:dyDescent="0.25">
      <c r="A268" s="5" t="s">
        <v>989</v>
      </c>
      <c r="B268" s="2">
        <v>600</v>
      </c>
      <c r="C268" s="6">
        <v>2</v>
      </c>
    </row>
    <row r="269" spans="1:3" x14ac:dyDescent="0.25">
      <c r="A269" s="5" t="s">
        <v>851</v>
      </c>
      <c r="B269" s="2">
        <v>600</v>
      </c>
      <c r="C269" s="6">
        <v>2</v>
      </c>
    </row>
    <row r="270" spans="1:3" x14ac:dyDescent="0.25">
      <c r="A270" s="5" t="s">
        <v>855</v>
      </c>
      <c r="B270" s="2">
        <v>600</v>
      </c>
      <c r="C270" s="6">
        <v>2</v>
      </c>
    </row>
    <row r="271" spans="1:3" x14ac:dyDescent="0.25">
      <c r="A271" s="5" t="s">
        <v>715</v>
      </c>
      <c r="B271" s="2">
        <v>600</v>
      </c>
      <c r="C271" s="6">
        <v>2</v>
      </c>
    </row>
    <row r="272" spans="1:3" x14ac:dyDescent="0.25">
      <c r="A272" s="5" t="s">
        <v>912</v>
      </c>
      <c r="B272" s="2">
        <v>600</v>
      </c>
      <c r="C272" s="6">
        <v>2</v>
      </c>
    </row>
    <row r="273" spans="1:3" x14ac:dyDescent="0.25">
      <c r="A273" s="5" t="s">
        <v>411</v>
      </c>
      <c r="B273" s="2">
        <v>600</v>
      </c>
      <c r="C273" s="6">
        <v>2</v>
      </c>
    </row>
    <row r="274" spans="1:3" x14ac:dyDescent="0.25">
      <c r="A274" s="5" t="s">
        <v>453</v>
      </c>
      <c r="B274" s="2">
        <v>600</v>
      </c>
      <c r="C274" s="6">
        <v>2</v>
      </c>
    </row>
    <row r="275" spans="1:3" x14ac:dyDescent="0.25">
      <c r="A275" s="5" t="s">
        <v>607</v>
      </c>
      <c r="B275" s="2">
        <v>600</v>
      </c>
      <c r="C275" s="6">
        <v>2</v>
      </c>
    </row>
    <row r="276" spans="1:3" x14ac:dyDescent="0.25">
      <c r="A276" s="5" t="s">
        <v>361</v>
      </c>
      <c r="B276" s="2">
        <v>600</v>
      </c>
      <c r="C276" s="6">
        <v>2</v>
      </c>
    </row>
    <row r="277" spans="1:3" x14ac:dyDescent="0.25">
      <c r="A277" s="5" t="s">
        <v>393</v>
      </c>
      <c r="B277" s="2">
        <v>600</v>
      </c>
      <c r="C277" s="6">
        <v>2</v>
      </c>
    </row>
    <row r="278" spans="1:3" x14ac:dyDescent="0.25">
      <c r="A278" s="5" t="s">
        <v>509</v>
      </c>
      <c r="B278" s="2">
        <v>600</v>
      </c>
      <c r="C278" s="6">
        <v>2</v>
      </c>
    </row>
    <row r="279" spans="1:3" x14ac:dyDescent="0.25">
      <c r="A279" s="5" t="s">
        <v>662</v>
      </c>
      <c r="B279" s="2">
        <v>600</v>
      </c>
      <c r="C279" s="6">
        <v>2</v>
      </c>
    </row>
    <row r="280" spans="1:3" x14ac:dyDescent="0.25">
      <c r="A280" s="5" t="s">
        <v>416</v>
      </c>
      <c r="B280" s="2">
        <v>600</v>
      </c>
      <c r="C280" s="6">
        <v>2</v>
      </c>
    </row>
    <row r="281" spans="1:3" x14ac:dyDescent="0.25">
      <c r="A281" s="5" t="s">
        <v>405</v>
      </c>
      <c r="B281" s="2">
        <v>600</v>
      </c>
      <c r="C281" s="6">
        <v>2</v>
      </c>
    </row>
    <row r="282" spans="1:3" x14ac:dyDescent="0.25">
      <c r="A282" s="5" t="s">
        <v>415</v>
      </c>
      <c r="B282" s="2">
        <v>600</v>
      </c>
      <c r="C282" s="6">
        <v>2</v>
      </c>
    </row>
    <row r="283" spans="1:3" x14ac:dyDescent="0.25">
      <c r="A283" s="5" t="s">
        <v>623</v>
      </c>
      <c r="B283" s="2">
        <v>600</v>
      </c>
      <c r="C283" s="6">
        <v>2</v>
      </c>
    </row>
    <row r="284" spans="1:3" x14ac:dyDescent="0.25">
      <c r="A284" s="5" t="s">
        <v>477</v>
      </c>
      <c r="B284" s="2">
        <v>600</v>
      </c>
      <c r="C284" s="6">
        <v>2</v>
      </c>
    </row>
    <row r="285" spans="1:3" x14ac:dyDescent="0.25">
      <c r="A285" s="5" t="s">
        <v>650</v>
      </c>
      <c r="B285" s="2">
        <v>600</v>
      </c>
      <c r="C285" s="6">
        <v>2</v>
      </c>
    </row>
    <row r="286" spans="1:3" x14ac:dyDescent="0.25">
      <c r="A286" s="5" t="s">
        <v>521</v>
      </c>
      <c r="B286" s="2">
        <v>600</v>
      </c>
      <c r="C286" s="6">
        <v>2</v>
      </c>
    </row>
    <row r="287" spans="1:3" x14ac:dyDescent="0.25">
      <c r="A287" s="5" t="s">
        <v>456</v>
      </c>
      <c r="B287" s="2">
        <v>600</v>
      </c>
      <c r="C287" s="6">
        <v>2</v>
      </c>
    </row>
    <row r="288" spans="1:3" x14ac:dyDescent="0.25">
      <c r="A288" s="5" t="s">
        <v>399</v>
      </c>
      <c r="B288" s="2">
        <v>600</v>
      </c>
      <c r="C288" s="6">
        <v>2</v>
      </c>
    </row>
    <row r="289" spans="1:3" x14ac:dyDescent="0.25">
      <c r="A289" s="5" t="s">
        <v>386</v>
      </c>
      <c r="B289" s="2">
        <v>600</v>
      </c>
      <c r="C289" s="6">
        <v>2</v>
      </c>
    </row>
    <row r="290" spans="1:3" x14ac:dyDescent="0.25">
      <c r="A290" s="5" t="s">
        <v>556</v>
      </c>
      <c r="B290" s="2">
        <v>600</v>
      </c>
      <c r="C290" s="6">
        <v>2</v>
      </c>
    </row>
    <row r="291" spans="1:3" x14ac:dyDescent="0.25">
      <c r="A291" s="5" t="s">
        <v>303</v>
      </c>
      <c r="B291" s="2">
        <v>600</v>
      </c>
      <c r="C291" s="6">
        <v>2</v>
      </c>
    </row>
    <row r="292" spans="1:3" x14ac:dyDescent="0.25">
      <c r="A292" s="5" t="s">
        <v>109</v>
      </c>
      <c r="B292" s="2">
        <v>600</v>
      </c>
      <c r="C292" s="6">
        <v>2</v>
      </c>
    </row>
    <row r="293" spans="1:3" x14ac:dyDescent="0.25">
      <c r="A293" s="5" t="s">
        <v>142</v>
      </c>
      <c r="B293" s="2">
        <v>600</v>
      </c>
      <c r="C293" s="6">
        <v>2</v>
      </c>
    </row>
    <row r="294" spans="1:3" x14ac:dyDescent="0.25">
      <c r="A294" s="5" t="s">
        <v>246</v>
      </c>
      <c r="B294" s="2">
        <v>600</v>
      </c>
      <c r="C294" s="6">
        <v>2</v>
      </c>
    </row>
    <row r="295" spans="1:3" x14ac:dyDescent="0.25">
      <c r="A295" s="5" t="s">
        <v>144</v>
      </c>
      <c r="B295" s="2">
        <v>600</v>
      </c>
      <c r="C295" s="6">
        <v>2</v>
      </c>
    </row>
    <row r="296" spans="1:3" x14ac:dyDescent="0.25">
      <c r="A296" s="5" t="s">
        <v>171</v>
      </c>
      <c r="B296" s="2">
        <v>600</v>
      </c>
      <c r="C296" s="6">
        <v>2</v>
      </c>
    </row>
    <row r="297" spans="1:3" x14ac:dyDescent="0.25">
      <c r="A297" s="5" t="s">
        <v>304</v>
      </c>
      <c r="B297" s="2">
        <v>600</v>
      </c>
      <c r="C297" s="6">
        <v>2</v>
      </c>
    </row>
    <row r="298" spans="1:3" x14ac:dyDescent="0.25">
      <c r="A298" s="5" t="s">
        <v>114</v>
      </c>
      <c r="B298" s="2">
        <v>600</v>
      </c>
      <c r="C298" s="6">
        <v>2</v>
      </c>
    </row>
    <row r="299" spans="1:3" x14ac:dyDescent="0.25">
      <c r="A299" s="5" t="s">
        <v>315</v>
      </c>
      <c r="B299" s="2">
        <v>600</v>
      </c>
      <c r="C299" s="6">
        <v>2</v>
      </c>
    </row>
    <row r="300" spans="1:3" x14ac:dyDescent="0.25">
      <c r="A300" s="5" t="s">
        <v>22</v>
      </c>
      <c r="B300" s="2">
        <v>600</v>
      </c>
      <c r="C300" s="6">
        <v>2</v>
      </c>
    </row>
    <row r="301" spans="1:3" x14ac:dyDescent="0.25">
      <c r="A301" s="5" t="s">
        <v>149</v>
      </c>
      <c r="B301" s="2">
        <v>600</v>
      </c>
      <c r="C301" s="6">
        <v>2</v>
      </c>
    </row>
    <row r="302" spans="1:3" x14ac:dyDescent="0.25">
      <c r="A302" s="5" t="s">
        <v>234</v>
      </c>
      <c r="B302" s="2">
        <v>600</v>
      </c>
      <c r="C302" s="6">
        <v>2</v>
      </c>
    </row>
    <row r="303" spans="1:3" x14ac:dyDescent="0.25">
      <c r="A303" s="5" t="s">
        <v>710</v>
      </c>
      <c r="B303" s="2">
        <v>500</v>
      </c>
      <c r="C303" s="6">
        <v>1</v>
      </c>
    </row>
    <row r="304" spans="1:3" x14ac:dyDescent="0.25">
      <c r="A304" s="5" t="s">
        <v>877</v>
      </c>
      <c r="B304" s="2">
        <v>500</v>
      </c>
      <c r="C304" s="6">
        <v>1</v>
      </c>
    </row>
    <row r="305" spans="1:3" x14ac:dyDescent="0.25">
      <c r="A305" s="5" t="s">
        <v>730</v>
      </c>
      <c r="B305" s="2">
        <v>500</v>
      </c>
      <c r="C305" s="6">
        <v>1</v>
      </c>
    </row>
    <row r="306" spans="1:3" x14ac:dyDescent="0.25">
      <c r="A306" s="5" t="s">
        <v>727</v>
      </c>
      <c r="B306" s="2">
        <v>500</v>
      </c>
      <c r="C306" s="6">
        <v>1</v>
      </c>
    </row>
    <row r="307" spans="1:3" x14ac:dyDescent="0.25">
      <c r="A307" s="5" t="s">
        <v>734</v>
      </c>
      <c r="B307" s="2">
        <v>500</v>
      </c>
      <c r="C307" s="6">
        <v>1</v>
      </c>
    </row>
    <row r="308" spans="1:3" x14ac:dyDescent="0.25">
      <c r="A308" s="5" t="s">
        <v>773</v>
      </c>
      <c r="B308" s="2">
        <v>500</v>
      </c>
      <c r="C308" s="6">
        <v>1</v>
      </c>
    </row>
    <row r="309" spans="1:3" x14ac:dyDescent="0.25">
      <c r="A309" s="5" t="s">
        <v>997</v>
      </c>
      <c r="B309" s="2">
        <v>500</v>
      </c>
      <c r="C309" s="6">
        <v>1</v>
      </c>
    </row>
    <row r="310" spans="1:3" x14ac:dyDescent="0.25">
      <c r="A310" s="5" t="s">
        <v>947</v>
      </c>
      <c r="B310" s="2">
        <v>500</v>
      </c>
      <c r="C310" s="6">
        <v>1</v>
      </c>
    </row>
    <row r="311" spans="1:3" x14ac:dyDescent="0.25">
      <c r="A311" s="5" t="s">
        <v>720</v>
      </c>
      <c r="B311" s="2">
        <v>500</v>
      </c>
      <c r="C311" s="6">
        <v>1</v>
      </c>
    </row>
    <row r="312" spans="1:3" x14ac:dyDescent="0.25">
      <c r="A312" s="5" t="s">
        <v>950</v>
      </c>
      <c r="B312" s="2">
        <v>500</v>
      </c>
      <c r="C312" s="6">
        <v>1</v>
      </c>
    </row>
    <row r="313" spans="1:3" x14ac:dyDescent="0.25">
      <c r="A313" s="5" t="s">
        <v>797</v>
      </c>
      <c r="B313" s="2">
        <v>500</v>
      </c>
      <c r="C313" s="6">
        <v>1</v>
      </c>
    </row>
    <row r="314" spans="1:3" x14ac:dyDescent="0.25">
      <c r="A314" s="5" t="s">
        <v>774</v>
      </c>
      <c r="B314" s="2">
        <v>500</v>
      </c>
      <c r="C314" s="6">
        <v>1</v>
      </c>
    </row>
    <row r="315" spans="1:3" x14ac:dyDescent="0.25">
      <c r="A315" s="5" t="s">
        <v>880</v>
      </c>
      <c r="B315" s="2">
        <v>500</v>
      </c>
      <c r="C315" s="6">
        <v>1</v>
      </c>
    </row>
    <row r="316" spans="1:3" x14ac:dyDescent="0.25">
      <c r="A316" s="5" t="s">
        <v>827</v>
      </c>
      <c r="B316" s="2">
        <v>500</v>
      </c>
      <c r="C316" s="6">
        <v>1</v>
      </c>
    </row>
    <row r="317" spans="1:3" x14ac:dyDescent="0.25">
      <c r="A317" s="5" t="s">
        <v>927</v>
      </c>
      <c r="B317" s="2">
        <v>500</v>
      </c>
      <c r="C317" s="6">
        <v>1</v>
      </c>
    </row>
    <row r="318" spans="1:3" x14ac:dyDescent="0.25">
      <c r="A318" s="5" t="s">
        <v>896</v>
      </c>
      <c r="B318" s="2">
        <v>500</v>
      </c>
      <c r="C318" s="6">
        <v>1</v>
      </c>
    </row>
    <row r="319" spans="1:3" x14ac:dyDescent="0.25">
      <c r="A319" s="5" t="s">
        <v>794</v>
      </c>
      <c r="B319" s="2">
        <v>500</v>
      </c>
      <c r="C319" s="6">
        <v>1</v>
      </c>
    </row>
    <row r="320" spans="1:3" x14ac:dyDescent="0.25">
      <c r="A320" s="5" t="s">
        <v>858</v>
      </c>
      <c r="B320" s="2">
        <v>500</v>
      </c>
      <c r="C320" s="6">
        <v>1</v>
      </c>
    </row>
    <row r="321" spans="1:3" x14ac:dyDescent="0.25">
      <c r="A321" s="5" t="s">
        <v>917</v>
      </c>
      <c r="B321" s="2">
        <v>500</v>
      </c>
      <c r="C321" s="6">
        <v>1</v>
      </c>
    </row>
    <row r="322" spans="1:3" x14ac:dyDescent="0.25">
      <c r="A322" s="5" t="s">
        <v>831</v>
      </c>
      <c r="B322" s="2">
        <v>500</v>
      </c>
      <c r="C322" s="6">
        <v>1</v>
      </c>
    </row>
    <row r="323" spans="1:3" x14ac:dyDescent="0.25">
      <c r="A323" s="5" t="s">
        <v>554</v>
      </c>
      <c r="B323" s="2">
        <v>500</v>
      </c>
      <c r="C323" s="6">
        <v>1</v>
      </c>
    </row>
    <row r="324" spans="1:3" x14ac:dyDescent="0.25">
      <c r="A324" s="5" t="s">
        <v>350</v>
      </c>
      <c r="B324" s="2">
        <v>500</v>
      </c>
      <c r="C324" s="6">
        <v>1</v>
      </c>
    </row>
    <row r="325" spans="1:3" x14ac:dyDescent="0.25">
      <c r="A325" s="5" t="s">
        <v>377</v>
      </c>
      <c r="B325" s="2">
        <v>500</v>
      </c>
      <c r="C325" s="6">
        <v>1</v>
      </c>
    </row>
    <row r="326" spans="1:3" x14ac:dyDescent="0.25">
      <c r="A326" s="5" t="s">
        <v>583</v>
      </c>
      <c r="B326" s="2">
        <v>500</v>
      </c>
      <c r="C326" s="6">
        <v>1</v>
      </c>
    </row>
    <row r="327" spans="1:3" x14ac:dyDescent="0.25">
      <c r="A327" s="5" t="s">
        <v>368</v>
      </c>
      <c r="B327" s="2">
        <v>500</v>
      </c>
      <c r="C327" s="6">
        <v>1</v>
      </c>
    </row>
    <row r="328" spans="1:3" x14ac:dyDescent="0.25">
      <c r="A328" s="5" t="s">
        <v>366</v>
      </c>
      <c r="B328" s="2">
        <v>500</v>
      </c>
      <c r="C328" s="6">
        <v>1</v>
      </c>
    </row>
    <row r="329" spans="1:3" x14ac:dyDescent="0.25">
      <c r="A329" s="5" t="s">
        <v>552</v>
      </c>
      <c r="B329" s="2">
        <v>500</v>
      </c>
      <c r="C329" s="6">
        <v>1</v>
      </c>
    </row>
    <row r="330" spans="1:3" x14ac:dyDescent="0.25">
      <c r="A330" s="5" t="s">
        <v>544</v>
      </c>
      <c r="B330" s="2">
        <v>500</v>
      </c>
      <c r="C330" s="6">
        <v>1</v>
      </c>
    </row>
    <row r="331" spans="1:3" x14ac:dyDescent="0.25">
      <c r="A331" s="5" t="s">
        <v>651</v>
      </c>
      <c r="B331" s="2">
        <v>500</v>
      </c>
      <c r="C331" s="6">
        <v>1</v>
      </c>
    </row>
    <row r="332" spans="1:3" x14ac:dyDescent="0.25">
      <c r="A332" s="5" t="s">
        <v>407</v>
      </c>
      <c r="B332" s="2">
        <v>500</v>
      </c>
      <c r="C332" s="6">
        <v>1</v>
      </c>
    </row>
    <row r="333" spans="1:3" x14ac:dyDescent="0.25">
      <c r="A333" s="5" t="s">
        <v>397</v>
      </c>
      <c r="B333" s="2">
        <v>500</v>
      </c>
      <c r="C333" s="6">
        <v>1</v>
      </c>
    </row>
    <row r="334" spans="1:3" x14ac:dyDescent="0.25">
      <c r="A334" s="5" t="s">
        <v>625</v>
      </c>
      <c r="B334" s="2">
        <v>500</v>
      </c>
      <c r="C334" s="6">
        <v>1</v>
      </c>
    </row>
    <row r="335" spans="1:3" x14ac:dyDescent="0.25">
      <c r="A335" s="5" t="s">
        <v>668</v>
      </c>
      <c r="B335" s="2">
        <v>500</v>
      </c>
      <c r="C335" s="6">
        <v>1</v>
      </c>
    </row>
    <row r="336" spans="1:3" x14ac:dyDescent="0.25">
      <c r="A336" s="5" t="s">
        <v>421</v>
      </c>
      <c r="B336" s="2">
        <v>500</v>
      </c>
      <c r="C336" s="6">
        <v>1</v>
      </c>
    </row>
    <row r="337" spans="1:3" x14ac:dyDescent="0.25">
      <c r="A337" s="5" t="s">
        <v>550</v>
      </c>
      <c r="B337" s="2">
        <v>500</v>
      </c>
      <c r="C337" s="6">
        <v>1</v>
      </c>
    </row>
    <row r="338" spans="1:3" x14ac:dyDescent="0.25">
      <c r="A338" s="5" t="s">
        <v>680</v>
      </c>
      <c r="B338" s="2">
        <v>500</v>
      </c>
      <c r="C338" s="6">
        <v>1</v>
      </c>
    </row>
    <row r="339" spans="1:3" x14ac:dyDescent="0.25">
      <c r="A339" s="5" t="s">
        <v>118</v>
      </c>
      <c r="B339" s="2">
        <v>500</v>
      </c>
      <c r="C339" s="6">
        <v>1</v>
      </c>
    </row>
    <row r="340" spans="1:3" x14ac:dyDescent="0.25">
      <c r="A340" s="5" t="s">
        <v>332</v>
      </c>
      <c r="B340" s="2">
        <v>500</v>
      </c>
      <c r="C340" s="6">
        <v>1</v>
      </c>
    </row>
    <row r="341" spans="1:3" x14ac:dyDescent="0.25">
      <c r="A341" s="5" t="s">
        <v>104</v>
      </c>
      <c r="B341" s="2">
        <v>500</v>
      </c>
      <c r="C341" s="6">
        <v>1</v>
      </c>
    </row>
    <row r="342" spans="1:3" x14ac:dyDescent="0.25">
      <c r="A342" s="5" t="s">
        <v>296</v>
      </c>
      <c r="B342" s="2">
        <v>500</v>
      </c>
      <c r="C342" s="6">
        <v>1</v>
      </c>
    </row>
    <row r="343" spans="1:3" x14ac:dyDescent="0.25">
      <c r="A343" s="5" t="s">
        <v>335</v>
      </c>
      <c r="B343" s="2">
        <v>500</v>
      </c>
      <c r="C343" s="6">
        <v>1</v>
      </c>
    </row>
    <row r="344" spans="1:3" x14ac:dyDescent="0.25">
      <c r="A344" s="5" t="s">
        <v>251</v>
      </c>
      <c r="B344" s="2">
        <v>500</v>
      </c>
      <c r="C344" s="6">
        <v>1</v>
      </c>
    </row>
    <row r="345" spans="1:3" x14ac:dyDescent="0.25">
      <c r="A345" s="5" t="s">
        <v>41</v>
      </c>
      <c r="B345" s="2">
        <v>500</v>
      </c>
      <c r="C345" s="6">
        <v>1</v>
      </c>
    </row>
    <row r="346" spans="1:3" x14ac:dyDescent="0.25">
      <c r="A346" s="5" t="s">
        <v>267</v>
      </c>
      <c r="B346" s="2">
        <v>500</v>
      </c>
      <c r="C346" s="6">
        <v>1</v>
      </c>
    </row>
    <row r="347" spans="1:3" x14ac:dyDescent="0.25">
      <c r="A347" s="5" t="s">
        <v>143</v>
      </c>
      <c r="B347" s="2">
        <v>500</v>
      </c>
      <c r="C347" s="6">
        <v>1</v>
      </c>
    </row>
    <row r="348" spans="1:3" x14ac:dyDescent="0.25">
      <c r="A348" s="5" t="s">
        <v>233</v>
      </c>
      <c r="B348" s="2">
        <v>500</v>
      </c>
      <c r="C348" s="6">
        <v>1</v>
      </c>
    </row>
    <row r="349" spans="1:3" x14ac:dyDescent="0.25">
      <c r="A349" s="5" t="s">
        <v>34</v>
      </c>
      <c r="B349" s="2">
        <v>500</v>
      </c>
      <c r="C349" s="6">
        <v>1</v>
      </c>
    </row>
    <row r="350" spans="1:3" x14ac:dyDescent="0.25">
      <c r="A350" s="5" t="s">
        <v>141</v>
      </c>
      <c r="B350" s="2">
        <v>500</v>
      </c>
      <c r="C350" s="6">
        <v>1</v>
      </c>
    </row>
    <row r="351" spans="1:3" x14ac:dyDescent="0.25">
      <c r="A351" s="5" t="s">
        <v>101</v>
      </c>
      <c r="B351" s="2">
        <v>500</v>
      </c>
      <c r="C351" s="6">
        <v>1</v>
      </c>
    </row>
    <row r="352" spans="1:3" x14ac:dyDescent="0.25">
      <c r="A352" s="5" t="s">
        <v>292</v>
      </c>
      <c r="B352" s="2">
        <v>500</v>
      </c>
      <c r="C352" s="6">
        <v>1</v>
      </c>
    </row>
    <row r="353" spans="1:3" x14ac:dyDescent="0.25">
      <c r="A353" s="5" t="s">
        <v>17</v>
      </c>
      <c r="B353" s="2">
        <v>500</v>
      </c>
      <c r="C353" s="6">
        <v>1</v>
      </c>
    </row>
    <row r="354" spans="1:3" x14ac:dyDescent="0.25">
      <c r="A354" s="5" t="s">
        <v>834</v>
      </c>
      <c r="B354" s="2">
        <v>300</v>
      </c>
      <c r="C354" s="6">
        <v>1</v>
      </c>
    </row>
    <row r="355" spans="1:3" x14ac:dyDescent="0.25">
      <c r="A355" s="5" t="s">
        <v>878</v>
      </c>
      <c r="B355" s="2">
        <v>300</v>
      </c>
      <c r="C355" s="6">
        <v>1</v>
      </c>
    </row>
    <row r="356" spans="1:3" x14ac:dyDescent="0.25">
      <c r="A356" s="5" t="s">
        <v>711</v>
      </c>
      <c r="B356" s="2">
        <v>300</v>
      </c>
      <c r="C356" s="6">
        <v>1</v>
      </c>
    </row>
    <row r="357" spans="1:3" x14ac:dyDescent="0.25">
      <c r="A357" s="5" t="s">
        <v>918</v>
      </c>
      <c r="B357" s="2">
        <v>300</v>
      </c>
      <c r="C357" s="6">
        <v>1</v>
      </c>
    </row>
    <row r="358" spans="1:3" x14ac:dyDescent="0.25">
      <c r="A358" s="5" t="s">
        <v>700</v>
      </c>
      <c r="B358" s="2">
        <v>300</v>
      </c>
      <c r="C358" s="6">
        <v>1</v>
      </c>
    </row>
    <row r="359" spans="1:3" x14ac:dyDescent="0.25">
      <c r="A359" s="5" t="s">
        <v>922</v>
      </c>
      <c r="B359" s="2">
        <v>300</v>
      </c>
      <c r="C359" s="6">
        <v>1</v>
      </c>
    </row>
    <row r="360" spans="1:3" x14ac:dyDescent="0.25">
      <c r="A360" s="5" t="s">
        <v>996</v>
      </c>
      <c r="B360" s="2">
        <v>300</v>
      </c>
      <c r="C360" s="6">
        <v>1</v>
      </c>
    </row>
    <row r="361" spans="1:3" x14ac:dyDescent="0.25">
      <c r="A361" s="5" t="s">
        <v>807</v>
      </c>
      <c r="B361" s="2">
        <v>300</v>
      </c>
      <c r="C361" s="6">
        <v>1</v>
      </c>
    </row>
    <row r="362" spans="1:3" x14ac:dyDescent="0.25">
      <c r="A362" s="5" t="s">
        <v>738</v>
      </c>
      <c r="B362" s="2">
        <v>300</v>
      </c>
      <c r="C362" s="6">
        <v>1</v>
      </c>
    </row>
    <row r="363" spans="1:3" x14ac:dyDescent="0.25">
      <c r="A363" s="5" t="s">
        <v>808</v>
      </c>
      <c r="B363" s="2">
        <v>300</v>
      </c>
      <c r="C363" s="6">
        <v>1</v>
      </c>
    </row>
    <row r="364" spans="1:3" x14ac:dyDescent="0.25">
      <c r="A364" s="5" t="s">
        <v>881</v>
      </c>
      <c r="B364" s="2">
        <v>300</v>
      </c>
      <c r="C364" s="6">
        <v>1</v>
      </c>
    </row>
    <row r="365" spans="1:3" x14ac:dyDescent="0.25">
      <c r="A365" s="5" t="s">
        <v>938</v>
      </c>
      <c r="B365" s="2">
        <v>300</v>
      </c>
      <c r="C365" s="6">
        <v>1</v>
      </c>
    </row>
    <row r="366" spans="1:3" x14ac:dyDescent="0.25">
      <c r="A366" s="5" t="s">
        <v>796</v>
      </c>
      <c r="B366" s="2">
        <v>300</v>
      </c>
      <c r="C366" s="6">
        <v>1</v>
      </c>
    </row>
    <row r="367" spans="1:3" x14ac:dyDescent="0.25">
      <c r="A367" s="5" t="s">
        <v>865</v>
      </c>
      <c r="B367" s="2">
        <v>300</v>
      </c>
      <c r="C367" s="6">
        <v>1</v>
      </c>
    </row>
    <row r="368" spans="1:3" x14ac:dyDescent="0.25">
      <c r="A368" s="5" t="s">
        <v>894</v>
      </c>
      <c r="B368" s="2">
        <v>300</v>
      </c>
      <c r="C368" s="6">
        <v>1</v>
      </c>
    </row>
    <row r="369" spans="1:3" x14ac:dyDescent="0.25">
      <c r="A369" s="5" t="s">
        <v>952</v>
      </c>
      <c r="B369" s="2">
        <v>300</v>
      </c>
      <c r="C369" s="6">
        <v>1</v>
      </c>
    </row>
    <row r="370" spans="1:3" x14ac:dyDescent="0.25">
      <c r="A370" s="5" t="s">
        <v>839</v>
      </c>
      <c r="B370" s="2">
        <v>300</v>
      </c>
      <c r="C370" s="6">
        <v>1</v>
      </c>
    </row>
    <row r="371" spans="1:3" x14ac:dyDescent="0.25">
      <c r="A371" s="5" t="s">
        <v>960</v>
      </c>
      <c r="B371" s="2">
        <v>300</v>
      </c>
      <c r="C371" s="6">
        <v>1</v>
      </c>
    </row>
    <row r="372" spans="1:3" x14ac:dyDescent="0.25">
      <c r="A372" s="5" t="s">
        <v>754</v>
      </c>
      <c r="B372" s="2">
        <v>300</v>
      </c>
      <c r="C372" s="6">
        <v>1</v>
      </c>
    </row>
    <row r="373" spans="1:3" x14ac:dyDescent="0.25">
      <c r="A373" s="5" t="s">
        <v>687</v>
      </c>
      <c r="B373" s="2">
        <v>300</v>
      </c>
      <c r="C373" s="6">
        <v>1</v>
      </c>
    </row>
    <row r="374" spans="1:3" x14ac:dyDescent="0.25">
      <c r="A374" s="5" t="s">
        <v>581</v>
      </c>
      <c r="B374" s="2">
        <v>300</v>
      </c>
      <c r="C374" s="6">
        <v>1</v>
      </c>
    </row>
    <row r="375" spans="1:3" x14ac:dyDescent="0.25">
      <c r="A375" s="5" t="s">
        <v>609</v>
      </c>
      <c r="B375" s="2">
        <v>300</v>
      </c>
      <c r="C375" s="6">
        <v>1</v>
      </c>
    </row>
    <row r="376" spans="1:3" x14ac:dyDescent="0.25">
      <c r="A376" s="5" t="s">
        <v>391</v>
      </c>
      <c r="B376" s="2">
        <v>300</v>
      </c>
      <c r="C376" s="6">
        <v>1</v>
      </c>
    </row>
    <row r="377" spans="1:3" x14ac:dyDescent="0.25">
      <c r="A377" s="5" t="s">
        <v>568</v>
      </c>
      <c r="B377" s="2">
        <v>300</v>
      </c>
      <c r="C377" s="6">
        <v>1</v>
      </c>
    </row>
    <row r="378" spans="1:3" x14ac:dyDescent="0.25">
      <c r="A378" s="5" t="s">
        <v>378</v>
      </c>
      <c r="B378" s="2">
        <v>300</v>
      </c>
      <c r="C378" s="6">
        <v>1</v>
      </c>
    </row>
    <row r="379" spans="1:3" x14ac:dyDescent="0.25">
      <c r="A379" s="5" t="s">
        <v>458</v>
      </c>
      <c r="B379" s="2">
        <v>300</v>
      </c>
      <c r="C379" s="6">
        <v>1</v>
      </c>
    </row>
    <row r="380" spans="1:3" x14ac:dyDescent="0.25">
      <c r="A380" s="5" t="s">
        <v>638</v>
      </c>
      <c r="B380" s="2">
        <v>300</v>
      </c>
      <c r="C380" s="6">
        <v>1</v>
      </c>
    </row>
    <row r="381" spans="1:3" x14ac:dyDescent="0.25">
      <c r="A381" s="5" t="s">
        <v>615</v>
      </c>
      <c r="B381" s="2">
        <v>300</v>
      </c>
      <c r="C381" s="6">
        <v>1</v>
      </c>
    </row>
    <row r="382" spans="1:3" x14ac:dyDescent="0.25">
      <c r="A382" s="5" t="s">
        <v>371</v>
      </c>
      <c r="B382" s="2">
        <v>300</v>
      </c>
      <c r="C382" s="6">
        <v>1</v>
      </c>
    </row>
    <row r="383" spans="1:3" x14ac:dyDescent="0.25">
      <c r="A383" s="5" t="s">
        <v>654</v>
      </c>
      <c r="B383" s="2">
        <v>300</v>
      </c>
      <c r="C383" s="6">
        <v>1</v>
      </c>
    </row>
    <row r="384" spans="1:3" x14ac:dyDescent="0.25">
      <c r="A384" s="5" t="s">
        <v>414</v>
      </c>
      <c r="B384" s="2">
        <v>300</v>
      </c>
      <c r="C384" s="6">
        <v>1</v>
      </c>
    </row>
    <row r="385" spans="1:3" x14ac:dyDescent="0.25">
      <c r="A385" s="5" t="s">
        <v>536</v>
      </c>
      <c r="B385" s="2">
        <v>300</v>
      </c>
      <c r="C385" s="6">
        <v>1</v>
      </c>
    </row>
    <row r="386" spans="1:3" x14ac:dyDescent="0.25">
      <c r="A386" s="5" t="s">
        <v>527</v>
      </c>
      <c r="B386" s="2">
        <v>300</v>
      </c>
      <c r="C386" s="6">
        <v>1</v>
      </c>
    </row>
    <row r="387" spans="1:3" x14ac:dyDescent="0.25">
      <c r="A387" s="5" t="s">
        <v>265</v>
      </c>
      <c r="B387" s="2">
        <v>300</v>
      </c>
      <c r="C387" s="6">
        <v>1</v>
      </c>
    </row>
    <row r="388" spans="1:3" x14ac:dyDescent="0.25">
      <c r="A388" s="5" t="s">
        <v>81</v>
      </c>
      <c r="B388" s="2">
        <v>300</v>
      </c>
      <c r="C388" s="6">
        <v>1</v>
      </c>
    </row>
    <row r="389" spans="1:3" x14ac:dyDescent="0.25">
      <c r="A389" s="5" t="s">
        <v>92</v>
      </c>
      <c r="B389" s="2">
        <v>300</v>
      </c>
      <c r="C389" s="6">
        <v>1</v>
      </c>
    </row>
    <row r="390" spans="1:3" x14ac:dyDescent="0.25">
      <c r="A390" s="5" t="s">
        <v>181</v>
      </c>
      <c r="B390" s="2">
        <v>300</v>
      </c>
      <c r="C390" s="6">
        <v>1</v>
      </c>
    </row>
    <row r="391" spans="1:3" x14ac:dyDescent="0.25">
      <c r="A391" s="5" t="s">
        <v>56</v>
      </c>
      <c r="B391" s="2">
        <v>300</v>
      </c>
      <c r="C391" s="6">
        <v>1</v>
      </c>
    </row>
    <row r="392" spans="1:3" x14ac:dyDescent="0.25">
      <c r="A392" s="5" t="s">
        <v>187</v>
      </c>
      <c r="B392" s="2">
        <v>300</v>
      </c>
      <c r="C392" s="6">
        <v>1</v>
      </c>
    </row>
    <row r="393" spans="1:3" x14ac:dyDescent="0.25">
      <c r="A393" s="5" t="s">
        <v>65</v>
      </c>
      <c r="B393" s="2">
        <v>300</v>
      </c>
      <c r="C393" s="6">
        <v>1</v>
      </c>
    </row>
    <row r="394" spans="1:3" x14ac:dyDescent="0.25">
      <c r="A394" s="5" t="s">
        <v>192</v>
      </c>
      <c r="B394" s="2">
        <v>300</v>
      </c>
      <c r="C394" s="6">
        <v>1</v>
      </c>
    </row>
    <row r="395" spans="1:3" x14ac:dyDescent="0.25">
      <c r="A395" s="5" t="s">
        <v>160</v>
      </c>
      <c r="B395" s="2">
        <v>300</v>
      </c>
      <c r="C395" s="6">
        <v>1</v>
      </c>
    </row>
    <row r="396" spans="1:3" x14ac:dyDescent="0.25">
      <c r="A396" s="5" t="s">
        <v>253</v>
      </c>
      <c r="B396" s="2">
        <v>300</v>
      </c>
      <c r="C396" s="6">
        <v>1</v>
      </c>
    </row>
    <row r="397" spans="1:3" x14ac:dyDescent="0.25">
      <c r="A397" s="5" t="s">
        <v>83</v>
      </c>
      <c r="B397" s="2">
        <v>300</v>
      </c>
      <c r="C397" s="6">
        <v>1</v>
      </c>
    </row>
    <row r="398" spans="1:3" x14ac:dyDescent="0.25">
      <c r="A398" s="5" t="s">
        <v>37</v>
      </c>
      <c r="B398" s="2">
        <v>300</v>
      </c>
      <c r="C398" s="6">
        <v>1</v>
      </c>
    </row>
    <row r="399" spans="1:3" x14ac:dyDescent="0.25">
      <c r="A399" s="5" t="s">
        <v>283</v>
      </c>
      <c r="B399" s="2">
        <v>300</v>
      </c>
      <c r="C399" s="6">
        <v>1</v>
      </c>
    </row>
    <row r="400" spans="1:3" x14ac:dyDescent="0.25">
      <c r="A400" s="5" t="s">
        <v>916</v>
      </c>
      <c r="B400" s="2">
        <v>200</v>
      </c>
      <c r="C400" s="6">
        <v>4</v>
      </c>
    </row>
    <row r="401" spans="1:3" x14ac:dyDescent="0.25">
      <c r="A401" s="5" t="s">
        <v>736</v>
      </c>
      <c r="B401" s="2">
        <v>200</v>
      </c>
      <c r="C401" s="6">
        <v>4</v>
      </c>
    </row>
    <row r="402" spans="1:3" x14ac:dyDescent="0.25">
      <c r="A402" s="5" t="s">
        <v>753</v>
      </c>
      <c r="B402" s="2">
        <v>200</v>
      </c>
      <c r="C402" s="6">
        <v>4</v>
      </c>
    </row>
    <row r="403" spans="1:3" x14ac:dyDescent="0.25">
      <c r="A403" s="5" t="s">
        <v>873</v>
      </c>
      <c r="B403" s="2">
        <v>200</v>
      </c>
      <c r="C403" s="6">
        <v>4</v>
      </c>
    </row>
    <row r="404" spans="1:3" x14ac:dyDescent="0.25">
      <c r="A404" s="5" t="s">
        <v>984</v>
      </c>
      <c r="B404" s="2">
        <v>200</v>
      </c>
      <c r="C404" s="6">
        <v>4</v>
      </c>
    </row>
    <row r="405" spans="1:3" x14ac:dyDescent="0.25">
      <c r="A405" s="5" t="s">
        <v>930</v>
      </c>
      <c r="B405" s="2">
        <v>200</v>
      </c>
      <c r="C405" s="6">
        <v>4</v>
      </c>
    </row>
    <row r="406" spans="1:3" x14ac:dyDescent="0.25">
      <c r="A406" s="5" t="s">
        <v>699</v>
      </c>
      <c r="B406" s="2">
        <v>200</v>
      </c>
      <c r="C406" s="6">
        <v>4</v>
      </c>
    </row>
    <row r="407" spans="1:3" x14ac:dyDescent="0.25">
      <c r="A407" s="5" t="s">
        <v>709</v>
      </c>
      <c r="B407" s="2">
        <v>200</v>
      </c>
      <c r="C407" s="6">
        <v>4</v>
      </c>
    </row>
    <row r="408" spans="1:3" x14ac:dyDescent="0.25">
      <c r="A408" s="5" t="s">
        <v>943</v>
      </c>
      <c r="B408" s="2">
        <v>200</v>
      </c>
      <c r="C408" s="6">
        <v>4</v>
      </c>
    </row>
    <row r="409" spans="1:3" x14ac:dyDescent="0.25">
      <c r="A409" s="5" t="s">
        <v>848</v>
      </c>
      <c r="B409" s="2">
        <v>200</v>
      </c>
      <c r="C409" s="6">
        <v>4</v>
      </c>
    </row>
    <row r="410" spans="1:3" x14ac:dyDescent="0.25">
      <c r="A410" s="5" t="s">
        <v>949</v>
      </c>
      <c r="B410" s="2">
        <v>200</v>
      </c>
      <c r="C410" s="6">
        <v>4</v>
      </c>
    </row>
    <row r="411" spans="1:3" x14ac:dyDescent="0.25">
      <c r="A411" s="5" t="s">
        <v>814</v>
      </c>
      <c r="B411" s="2">
        <v>200</v>
      </c>
      <c r="C411" s="6">
        <v>4</v>
      </c>
    </row>
    <row r="412" spans="1:3" x14ac:dyDescent="0.25">
      <c r="A412" s="5" t="s">
        <v>988</v>
      </c>
      <c r="B412" s="2">
        <v>200</v>
      </c>
      <c r="C412" s="6">
        <v>4</v>
      </c>
    </row>
    <row r="413" spans="1:3" x14ac:dyDescent="0.25">
      <c r="A413" s="5" t="s">
        <v>974</v>
      </c>
      <c r="B413" s="2">
        <v>200</v>
      </c>
      <c r="C413" s="6">
        <v>4</v>
      </c>
    </row>
    <row r="414" spans="1:3" x14ac:dyDescent="0.25">
      <c r="A414" s="5" t="s">
        <v>951</v>
      </c>
      <c r="B414" s="2">
        <v>200</v>
      </c>
      <c r="C414" s="6">
        <v>4</v>
      </c>
    </row>
    <row r="415" spans="1:3" x14ac:dyDescent="0.25">
      <c r="A415" s="5" t="s">
        <v>830</v>
      </c>
      <c r="B415" s="2">
        <v>200</v>
      </c>
      <c r="C415" s="6">
        <v>4</v>
      </c>
    </row>
    <row r="416" spans="1:3" x14ac:dyDescent="0.25">
      <c r="A416" s="5" t="s">
        <v>798</v>
      </c>
      <c r="B416" s="2">
        <v>200</v>
      </c>
      <c r="C416" s="6">
        <v>4</v>
      </c>
    </row>
    <row r="417" spans="1:3" x14ac:dyDescent="0.25">
      <c r="A417" s="5" t="s">
        <v>978</v>
      </c>
      <c r="B417" s="2">
        <v>200</v>
      </c>
      <c r="C417" s="6">
        <v>4</v>
      </c>
    </row>
    <row r="418" spans="1:3" x14ac:dyDescent="0.25">
      <c r="A418" s="5" t="s">
        <v>778</v>
      </c>
      <c r="B418" s="2">
        <v>200</v>
      </c>
      <c r="C418" s="6">
        <v>4</v>
      </c>
    </row>
    <row r="419" spans="1:3" x14ac:dyDescent="0.25">
      <c r="A419" s="5" t="s">
        <v>820</v>
      </c>
      <c r="B419" s="2">
        <v>200</v>
      </c>
      <c r="C419" s="6">
        <v>4</v>
      </c>
    </row>
    <row r="420" spans="1:3" x14ac:dyDescent="0.25">
      <c r="A420" s="5" t="s">
        <v>833</v>
      </c>
      <c r="B420" s="2">
        <v>200</v>
      </c>
      <c r="C420" s="6">
        <v>4</v>
      </c>
    </row>
    <row r="421" spans="1:3" x14ac:dyDescent="0.25">
      <c r="A421" s="5" t="s">
        <v>846</v>
      </c>
      <c r="B421" s="2">
        <v>200</v>
      </c>
      <c r="C421" s="6">
        <v>4</v>
      </c>
    </row>
    <row r="422" spans="1:3" x14ac:dyDescent="0.25">
      <c r="A422" s="5" t="s">
        <v>354</v>
      </c>
      <c r="B422" s="2">
        <v>200</v>
      </c>
      <c r="C422" s="6">
        <v>4</v>
      </c>
    </row>
    <row r="423" spans="1:3" x14ac:dyDescent="0.25">
      <c r="A423" s="5" t="s">
        <v>424</v>
      </c>
      <c r="B423" s="2">
        <v>200</v>
      </c>
      <c r="C423" s="6">
        <v>4</v>
      </c>
    </row>
    <row r="424" spans="1:3" x14ac:dyDescent="0.25">
      <c r="A424" s="5" t="s">
        <v>441</v>
      </c>
      <c r="B424" s="2">
        <v>200</v>
      </c>
      <c r="C424" s="6">
        <v>4</v>
      </c>
    </row>
    <row r="425" spans="1:3" x14ac:dyDescent="0.25">
      <c r="A425" s="5" t="s">
        <v>390</v>
      </c>
      <c r="B425" s="2">
        <v>200</v>
      </c>
      <c r="C425" s="6">
        <v>4</v>
      </c>
    </row>
    <row r="426" spans="1:3" x14ac:dyDescent="0.25">
      <c r="A426" s="5" t="s">
        <v>641</v>
      </c>
      <c r="B426" s="2">
        <v>200</v>
      </c>
      <c r="C426" s="6">
        <v>4</v>
      </c>
    </row>
    <row r="427" spans="1:3" x14ac:dyDescent="0.25">
      <c r="A427" s="5" t="s">
        <v>559</v>
      </c>
      <c r="B427" s="2">
        <v>200</v>
      </c>
      <c r="C427" s="6">
        <v>4</v>
      </c>
    </row>
    <row r="428" spans="1:3" x14ac:dyDescent="0.25">
      <c r="A428" s="5" t="s">
        <v>597</v>
      </c>
      <c r="B428" s="2">
        <v>200</v>
      </c>
      <c r="C428" s="6">
        <v>4</v>
      </c>
    </row>
    <row r="429" spans="1:3" x14ac:dyDescent="0.25">
      <c r="A429" s="5" t="s">
        <v>413</v>
      </c>
      <c r="B429" s="2">
        <v>200</v>
      </c>
      <c r="C429" s="6">
        <v>4</v>
      </c>
    </row>
    <row r="430" spans="1:3" x14ac:dyDescent="0.25">
      <c r="A430" s="5" t="s">
        <v>523</v>
      </c>
      <c r="B430" s="2">
        <v>200</v>
      </c>
      <c r="C430" s="6">
        <v>4</v>
      </c>
    </row>
    <row r="431" spans="1:3" x14ac:dyDescent="0.25">
      <c r="A431" s="5" t="s">
        <v>462</v>
      </c>
      <c r="B431" s="2">
        <v>200</v>
      </c>
      <c r="C431" s="6">
        <v>4</v>
      </c>
    </row>
    <row r="432" spans="1:3" x14ac:dyDescent="0.25">
      <c r="A432" s="5" t="s">
        <v>446</v>
      </c>
      <c r="B432" s="2">
        <v>200</v>
      </c>
      <c r="C432" s="6">
        <v>4</v>
      </c>
    </row>
    <row r="433" spans="1:3" x14ac:dyDescent="0.25">
      <c r="A433" s="5" t="s">
        <v>582</v>
      </c>
      <c r="B433" s="2">
        <v>200</v>
      </c>
      <c r="C433" s="6">
        <v>4</v>
      </c>
    </row>
    <row r="434" spans="1:3" x14ac:dyDescent="0.25">
      <c r="A434" s="5" t="s">
        <v>652</v>
      </c>
      <c r="B434" s="2">
        <v>200</v>
      </c>
      <c r="C434" s="6">
        <v>4</v>
      </c>
    </row>
    <row r="435" spans="1:3" x14ac:dyDescent="0.25">
      <c r="A435" s="5" t="s">
        <v>507</v>
      </c>
      <c r="B435" s="2">
        <v>200</v>
      </c>
      <c r="C435" s="6">
        <v>4</v>
      </c>
    </row>
    <row r="436" spans="1:3" x14ac:dyDescent="0.25">
      <c r="A436" s="5" t="s">
        <v>367</v>
      </c>
      <c r="B436" s="2">
        <v>200</v>
      </c>
      <c r="C436" s="6">
        <v>4</v>
      </c>
    </row>
    <row r="437" spans="1:3" x14ac:dyDescent="0.25">
      <c r="A437" s="5" t="s">
        <v>617</v>
      </c>
      <c r="B437" s="2">
        <v>200</v>
      </c>
      <c r="C437" s="6">
        <v>4</v>
      </c>
    </row>
    <row r="438" spans="1:3" x14ac:dyDescent="0.25">
      <c r="A438" s="5" t="s">
        <v>221</v>
      </c>
      <c r="B438" s="2">
        <v>200</v>
      </c>
      <c r="C438" s="6">
        <v>4</v>
      </c>
    </row>
    <row r="439" spans="1:3" x14ac:dyDescent="0.25">
      <c r="A439" s="5" t="s">
        <v>199</v>
      </c>
      <c r="B439" s="2">
        <v>200</v>
      </c>
      <c r="C439" s="6">
        <v>4</v>
      </c>
    </row>
    <row r="440" spans="1:3" x14ac:dyDescent="0.25">
      <c r="A440" s="5" t="s">
        <v>88</v>
      </c>
      <c r="B440" s="2">
        <v>200</v>
      </c>
      <c r="C440" s="6">
        <v>4</v>
      </c>
    </row>
    <row r="441" spans="1:3" x14ac:dyDescent="0.25">
      <c r="A441" s="5" t="s">
        <v>272</v>
      </c>
      <c r="B441" s="2">
        <v>200</v>
      </c>
      <c r="C441" s="6">
        <v>4</v>
      </c>
    </row>
    <row r="442" spans="1:3" x14ac:dyDescent="0.25">
      <c r="A442" s="5" t="s">
        <v>74</v>
      </c>
      <c r="B442" s="2">
        <v>200</v>
      </c>
      <c r="C442" s="6">
        <v>4</v>
      </c>
    </row>
    <row r="443" spans="1:3" x14ac:dyDescent="0.25">
      <c r="A443" s="5" t="s">
        <v>145</v>
      </c>
      <c r="B443" s="2">
        <v>200</v>
      </c>
      <c r="C443" s="6">
        <v>4</v>
      </c>
    </row>
    <row r="444" spans="1:3" x14ac:dyDescent="0.25">
      <c r="A444" s="5" t="s">
        <v>222</v>
      </c>
      <c r="B444" s="2">
        <v>200</v>
      </c>
      <c r="C444" s="6">
        <v>4</v>
      </c>
    </row>
    <row r="445" spans="1:3" x14ac:dyDescent="0.25">
      <c r="A445" s="5" t="s">
        <v>207</v>
      </c>
      <c r="B445" s="2">
        <v>200</v>
      </c>
      <c r="C445" s="6">
        <v>4</v>
      </c>
    </row>
    <row r="446" spans="1:3" x14ac:dyDescent="0.25">
      <c r="A446" s="5" t="s">
        <v>197</v>
      </c>
      <c r="B446" s="2">
        <v>200</v>
      </c>
      <c r="C446" s="6">
        <v>4</v>
      </c>
    </row>
    <row r="447" spans="1:3" x14ac:dyDescent="0.25">
      <c r="A447" s="5" t="s">
        <v>230</v>
      </c>
      <c r="B447" s="2">
        <v>200</v>
      </c>
      <c r="C447" s="6">
        <v>4</v>
      </c>
    </row>
    <row r="448" spans="1:3" x14ac:dyDescent="0.25">
      <c r="A448" s="5" t="s">
        <v>95</v>
      </c>
      <c r="B448" s="2">
        <v>200</v>
      </c>
      <c r="C448" s="6">
        <v>4</v>
      </c>
    </row>
    <row r="449" spans="1:3" x14ac:dyDescent="0.25">
      <c r="A449" s="5" t="s">
        <v>134</v>
      </c>
      <c r="B449" s="2">
        <v>200</v>
      </c>
      <c r="C449" s="6">
        <v>4</v>
      </c>
    </row>
    <row r="450" spans="1:3" x14ac:dyDescent="0.25">
      <c r="A450" s="5" t="s">
        <v>51</v>
      </c>
      <c r="B450" s="2">
        <v>200</v>
      </c>
      <c r="C450" s="6">
        <v>4</v>
      </c>
    </row>
    <row r="451" spans="1:3" x14ac:dyDescent="0.25">
      <c r="A451" s="5" t="s">
        <v>151</v>
      </c>
      <c r="B451" s="2">
        <v>200</v>
      </c>
      <c r="C451" s="6">
        <v>4</v>
      </c>
    </row>
    <row r="452" spans="1:3" x14ac:dyDescent="0.25">
      <c r="A452" s="5" t="s">
        <v>313</v>
      </c>
      <c r="B452" s="2">
        <v>200</v>
      </c>
      <c r="C452" s="6">
        <v>4</v>
      </c>
    </row>
    <row r="453" spans="1:3" x14ac:dyDescent="0.25">
      <c r="A453" s="5" t="s">
        <v>264</v>
      </c>
      <c r="B453" s="2">
        <v>200</v>
      </c>
      <c r="C453" s="6">
        <v>4</v>
      </c>
    </row>
    <row r="454" spans="1:3" x14ac:dyDescent="0.25">
      <c r="A454" s="5" t="s">
        <v>223</v>
      </c>
      <c r="B454" s="2">
        <v>200</v>
      </c>
      <c r="C454" s="6">
        <v>4</v>
      </c>
    </row>
    <row r="455" spans="1:3" x14ac:dyDescent="0.25">
      <c r="A455" s="5" t="s">
        <v>295</v>
      </c>
      <c r="B455" s="2">
        <v>200</v>
      </c>
      <c r="C455" s="6">
        <v>4</v>
      </c>
    </row>
    <row r="456" spans="1:3" x14ac:dyDescent="0.25">
      <c r="A456" s="5" t="s">
        <v>172</v>
      </c>
      <c r="B456" s="2">
        <v>200</v>
      </c>
      <c r="C456" s="6">
        <v>4</v>
      </c>
    </row>
    <row r="457" spans="1:3" x14ac:dyDescent="0.25">
      <c r="A457" s="5" t="s">
        <v>210</v>
      </c>
      <c r="B457" s="2">
        <v>200</v>
      </c>
      <c r="C457" s="6">
        <v>4</v>
      </c>
    </row>
    <row r="458" spans="1:3" x14ac:dyDescent="0.25">
      <c r="A458" s="5" t="s">
        <v>343</v>
      </c>
      <c r="B458" s="2">
        <v>200</v>
      </c>
      <c r="C458" s="6">
        <v>4</v>
      </c>
    </row>
    <row r="459" spans="1:3" x14ac:dyDescent="0.25">
      <c r="A459" s="5" t="s">
        <v>297</v>
      </c>
      <c r="B459" s="2">
        <v>200</v>
      </c>
      <c r="C459" s="6">
        <v>4</v>
      </c>
    </row>
    <row r="460" spans="1:3" x14ac:dyDescent="0.25">
      <c r="A460" s="5" t="s">
        <v>159</v>
      </c>
      <c r="B460" s="2">
        <v>200</v>
      </c>
      <c r="C460" s="6">
        <v>4</v>
      </c>
    </row>
    <row r="461" spans="1:3" x14ac:dyDescent="0.25">
      <c r="A461" s="5" t="s">
        <v>23</v>
      </c>
      <c r="B461" s="2">
        <v>200</v>
      </c>
      <c r="C461" s="6">
        <v>4</v>
      </c>
    </row>
    <row r="462" spans="1:3" x14ac:dyDescent="0.25">
      <c r="A462" s="5" t="s">
        <v>991</v>
      </c>
      <c r="B462" s="2">
        <v>150</v>
      </c>
      <c r="C462" s="6">
        <v>3</v>
      </c>
    </row>
    <row r="463" spans="1:3" x14ac:dyDescent="0.25">
      <c r="A463" s="5" t="s">
        <v>790</v>
      </c>
      <c r="B463" s="2">
        <v>150</v>
      </c>
      <c r="C463" s="6">
        <v>3</v>
      </c>
    </row>
    <row r="464" spans="1:3" x14ac:dyDescent="0.25">
      <c r="A464" s="5" t="s">
        <v>923</v>
      </c>
      <c r="B464" s="2">
        <v>150</v>
      </c>
      <c r="C464" s="6">
        <v>3</v>
      </c>
    </row>
    <row r="465" spans="1:3" x14ac:dyDescent="0.25">
      <c r="A465" s="5" t="s">
        <v>826</v>
      </c>
      <c r="B465" s="2">
        <v>150</v>
      </c>
      <c r="C465" s="6">
        <v>3</v>
      </c>
    </row>
    <row r="466" spans="1:3" x14ac:dyDescent="0.25">
      <c r="A466" s="5" t="s">
        <v>737</v>
      </c>
      <c r="B466" s="2">
        <v>150</v>
      </c>
      <c r="C466" s="6">
        <v>3</v>
      </c>
    </row>
    <row r="467" spans="1:3" x14ac:dyDescent="0.25">
      <c r="A467" s="5" t="s">
        <v>835</v>
      </c>
      <c r="B467" s="2">
        <v>150</v>
      </c>
      <c r="C467" s="6">
        <v>3</v>
      </c>
    </row>
    <row r="468" spans="1:3" x14ac:dyDescent="0.25">
      <c r="A468" s="5" t="s">
        <v>708</v>
      </c>
      <c r="B468" s="2">
        <v>150</v>
      </c>
      <c r="C468" s="6">
        <v>3</v>
      </c>
    </row>
    <row r="469" spans="1:3" x14ac:dyDescent="0.25">
      <c r="A469" s="5" t="s">
        <v>843</v>
      </c>
      <c r="B469" s="2">
        <v>150</v>
      </c>
      <c r="C469" s="6">
        <v>3</v>
      </c>
    </row>
    <row r="470" spans="1:3" x14ac:dyDescent="0.25">
      <c r="A470" s="5" t="s">
        <v>925</v>
      </c>
      <c r="B470" s="2">
        <v>150</v>
      </c>
      <c r="C470" s="6">
        <v>3</v>
      </c>
    </row>
    <row r="471" spans="1:3" x14ac:dyDescent="0.25">
      <c r="A471" s="5" t="s">
        <v>681</v>
      </c>
      <c r="B471" s="2">
        <v>150</v>
      </c>
      <c r="C471" s="6">
        <v>3</v>
      </c>
    </row>
    <row r="472" spans="1:3" x14ac:dyDescent="0.25">
      <c r="A472" s="5" t="s">
        <v>684</v>
      </c>
      <c r="B472" s="2">
        <v>150</v>
      </c>
      <c r="C472" s="6">
        <v>3</v>
      </c>
    </row>
    <row r="473" spans="1:3" x14ac:dyDescent="0.25">
      <c r="A473" s="5" t="s">
        <v>761</v>
      </c>
      <c r="B473" s="2">
        <v>150</v>
      </c>
      <c r="C473" s="6">
        <v>3</v>
      </c>
    </row>
    <row r="474" spans="1:3" x14ac:dyDescent="0.25">
      <c r="A474" s="5" t="s">
        <v>741</v>
      </c>
      <c r="B474" s="2">
        <v>150</v>
      </c>
      <c r="C474" s="6">
        <v>3</v>
      </c>
    </row>
    <row r="475" spans="1:3" x14ac:dyDescent="0.25">
      <c r="A475" s="5" t="s">
        <v>857</v>
      </c>
      <c r="B475" s="2">
        <v>150</v>
      </c>
      <c r="C475" s="6">
        <v>3</v>
      </c>
    </row>
    <row r="476" spans="1:3" x14ac:dyDescent="0.25">
      <c r="A476" s="5" t="s">
        <v>1006</v>
      </c>
      <c r="B476" s="2">
        <v>150</v>
      </c>
      <c r="C476" s="6">
        <v>3</v>
      </c>
    </row>
    <row r="477" spans="1:3" x14ac:dyDescent="0.25">
      <c r="A477" s="5" t="s">
        <v>1012</v>
      </c>
      <c r="B477" s="2">
        <v>150</v>
      </c>
      <c r="C477" s="6">
        <v>3</v>
      </c>
    </row>
    <row r="478" spans="1:3" x14ac:dyDescent="0.25">
      <c r="A478" s="5" t="s">
        <v>503</v>
      </c>
      <c r="B478" s="2">
        <v>150</v>
      </c>
      <c r="C478" s="6">
        <v>3</v>
      </c>
    </row>
    <row r="479" spans="1:3" x14ac:dyDescent="0.25">
      <c r="A479" s="5" t="s">
        <v>480</v>
      </c>
      <c r="B479" s="2">
        <v>150</v>
      </c>
      <c r="C479" s="6">
        <v>3</v>
      </c>
    </row>
    <row r="480" spans="1:3" x14ac:dyDescent="0.25">
      <c r="A480" s="5" t="s">
        <v>478</v>
      </c>
      <c r="B480" s="2">
        <v>150</v>
      </c>
      <c r="C480" s="6">
        <v>3</v>
      </c>
    </row>
    <row r="481" spans="1:3" x14ac:dyDescent="0.25">
      <c r="A481" s="5" t="s">
        <v>589</v>
      </c>
      <c r="B481" s="2">
        <v>150</v>
      </c>
      <c r="C481" s="6">
        <v>3</v>
      </c>
    </row>
    <row r="482" spans="1:3" x14ac:dyDescent="0.25">
      <c r="A482" s="5" t="s">
        <v>484</v>
      </c>
      <c r="B482" s="2">
        <v>150</v>
      </c>
      <c r="C482" s="6">
        <v>3</v>
      </c>
    </row>
    <row r="483" spans="1:3" x14ac:dyDescent="0.25">
      <c r="A483" s="5" t="s">
        <v>567</v>
      </c>
      <c r="B483" s="2">
        <v>150</v>
      </c>
      <c r="C483" s="6">
        <v>3</v>
      </c>
    </row>
    <row r="484" spans="1:3" x14ac:dyDescent="0.25">
      <c r="A484" s="5" t="s">
        <v>551</v>
      </c>
      <c r="B484" s="2">
        <v>150</v>
      </c>
      <c r="C484" s="6">
        <v>3</v>
      </c>
    </row>
    <row r="485" spans="1:3" x14ac:dyDescent="0.25">
      <c r="A485" s="5" t="s">
        <v>515</v>
      </c>
      <c r="B485" s="2">
        <v>150</v>
      </c>
      <c r="C485" s="6">
        <v>3</v>
      </c>
    </row>
    <row r="486" spans="1:3" x14ac:dyDescent="0.25">
      <c r="A486" s="5" t="s">
        <v>542</v>
      </c>
      <c r="B486" s="2">
        <v>150</v>
      </c>
      <c r="C486" s="6">
        <v>3</v>
      </c>
    </row>
    <row r="487" spans="1:3" x14ac:dyDescent="0.25">
      <c r="A487" s="5" t="s">
        <v>517</v>
      </c>
      <c r="B487" s="2">
        <v>150</v>
      </c>
      <c r="C487" s="6">
        <v>3</v>
      </c>
    </row>
    <row r="488" spans="1:3" x14ac:dyDescent="0.25">
      <c r="A488" s="5" t="s">
        <v>349</v>
      </c>
      <c r="B488" s="2">
        <v>150</v>
      </c>
      <c r="C488" s="6">
        <v>3</v>
      </c>
    </row>
    <row r="489" spans="1:3" x14ac:dyDescent="0.25">
      <c r="A489" s="5" t="s">
        <v>439</v>
      </c>
      <c r="B489" s="2">
        <v>150</v>
      </c>
      <c r="C489" s="6">
        <v>3</v>
      </c>
    </row>
    <row r="490" spans="1:3" x14ac:dyDescent="0.25">
      <c r="A490" s="5" t="s">
        <v>664</v>
      </c>
      <c r="B490" s="2">
        <v>150</v>
      </c>
      <c r="C490" s="6">
        <v>3</v>
      </c>
    </row>
    <row r="491" spans="1:3" x14ac:dyDescent="0.25">
      <c r="A491" s="5" t="s">
        <v>679</v>
      </c>
      <c r="B491" s="2">
        <v>150</v>
      </c>
      <c r="C491" s="6">
        <v>3</v>
      </c>
    </row>
    <row r="492" spans="1:3" x14ac:dyDescent="0.25">
      <c r="A492" s="5" t="s">
        <v>636</v>
      </c>
      <c r="B492" s="2">
        <v>150</v>
      </c>
      <c r="C492" s="6">
        <v>3</v>
      </c>
    </row>
    <row r="493" spans="1:3" x14ac:dyDescent="0.25">
      <c r="A493" s="5" t="s">
        <v>337</v>
      </c>
      <c r="B493" s="2">
        <v>150</v>
      </c>
      <c r="C493" s="6">
        <v>3</v>
      </c>
    </row>
    <row r="494" spans="1:3" x14ac:dyDescent="0.25">
      <c r="A494" s="5" t="s">
        <v>244</v>
      </c>
      <c r="B494" s="2">
        <v>150</v>
      </c>
      <c r="C494" s="6">
        <v>3</v>
      </c>
    </row>
    <row r="495" spans="1:3" x14ac:dyDescent="0.25">
      <c r="A495" s="5" t="s">
        <v>176</v>
      </c>
      <c r="B495" s="2">
        <v>150</v>
      </c>
      <c r="C495" s="6">
        <v>3</v>
      </c>
    </row>
    <row r="496" spans="1:3" x14ac:dyDescent="0.25">
      <c r="A496" s="5" t="s">
        <v>340</v>
      </c>
      <c r="B496" s="2">
        <v>150</v>
      </c>
      <c r="C496" s="6">
        <v>3</v>
      </c>
    </row>
    <row r="497" spans="1:3" x14ac:dyDescent="0.25">
      <c r="A497" s="5" t="s">
        <v>73</v>
      </c>
      <c r="B497" s="2">
        <v>150</v>
      </c>
      <c r="C497" s="6">
        <v>3</v>
      </c>
    </row>
    <row r="498" spans="1:3" x14ac:dyDescent="0.25">
      <c r="A498" s="5" t="s">
        <v>98</v>
      </c>
      <c r="B498" s="2">
        <v>150</v>
      </c>
      <c r="C498" s="6">
        <v>3</v>
      </c>
    </row>
    <row r="499" spans="1:3" x14ac:dyDescent="0.25">
      <c r="A499" s="5" t="s">
        <v>132</v>
      </c>
      <c r="B499" s="2">
        <v>150</v>
      </c>
      <c r="C499" s="6">
        <v>3</v>
      </c>
    </row>
    <row r="500" spans="1:3" x14ac:dyDescent="0.25">
      <c r="A500" s="5" t="s">
        <v>47</v>
      </c>
      <c r="B500" s="2">
        <v>150</v>
      </c>
      <c r="C500" s="6">
        <v>3</v>
      </c>
    </row>
    <row r="501" spans="1:3" x14ac:dyDescent="0.25">
      <c r="A501" s="5" t="s">
        <v>213</v>
      </c>
      <c r="B501" s="2">
        <v>150</v>
      </c>
      <c r="C501" s="6">
        <v>3</v>
      </c>
    </row>
    <row r="502" spans="1:3" x14ac:dyDescent="0.25">
      <c r="A502" s="5" t="s">
        <v>9</v>
      </c>
      <c r="B502" s="2">
        <v>150</v>
      </c>
      <c r="C502" s="6">
        <v>3</v>
      </c>
    </row>
    <row r="503" spans="1:3" x14ac:dyDescent="0.25">
      <c r="A503" s="5" t="s">
        <v>180</v>
      </c>
      <c r="B503" s="2">
        <v>150</v>
      </c>
      <c r="C503" s="6">
        <v>3</v>
      </c>
    </row>
    <row r="504" spans="1:3" x14ac:dyDescent="0.25">
      <c r="A504" s="5" t="s">
        <v>809</v>
      </c>
      <c r="B504" s="2">
        <v>120</v>
      </c>
      <c r="C504" s="6">
        <v>4</v>
      </c>
    </row>
    <row r="505" spans="1:3" x14ac:dyDescent="0.25">
      <c r="A505" s="5" t="s">
        <v>782</v>
      </c>
      <c r="B505" s="2">
        <v>120</v>
      </c>
      <c r="C505" s="6">
        <v>4</v>
      </c>
    </row>
    <row r="506" spans="1:3" x14ac:dyDescent="0.25">
      <c r="A506" s="5" t="s">
        <v>883</v>
      </c>
      <c r="B506" s="2">
        <v>120</v>
      </c>
      <c r="C506" s="6">
        <v>4</v>
      </c>
    </row>
    <row r="507" spans="1:3" x14ac:dyDescent="0.25">
      <c r="A507" s="5" t="s">
        <v>908</v>
      </c>
      <c r="B507" s="2">
        <v>120</v>
      </c>
      <c r="C507" s="6">
        <v>4</v>
      </c>
    </row>
    <row r="508" spans="1:3" x14ac:dyDescent="0.25">
      <c r="A508" s="5" t="s">
        <v>970</v>
      </c>
      <c r="B508" s="2">
        <v>120</v>
      </c>
      <c r="C508" s="6">
        <v>4</v>
      </c>
    </row>
    <row r="509" spans="1:3" x14ac:dyDescent="0.25">
      <c r="A509" s="5" t="s">
        <v>944</v>
      </c>
      <c r="B509" s="2">
        <v>120</v>
      </c>
      <c r="C509" s="6">
        <v>4</v>
      </c>
    </row>
    <row r="510" spans="1:3" x14ac:dyDescent="0.25">
      <c r="A510" s="5" t="s">
        <v>869</v>
      </c>
      <c r="B510" s="2">
        <v>120</v>
      </c>
      <c r="C510" s="6">
        <v>4</v>
      </c>
    </row>
    <row r="511" spans="1:3" x14ac:dyDescent="0.25">
      <c r="A511" s="5" t="s">
        <v>837</v>
      </c>
      <c r="B511" s="2">
        <v>120</v>
      </c>
      <c r="C511" s="6">
        <v>4</v>
      </c>
    </row>
    <row r="512" spans="1:3" x14ac:dyDescent="0.25">
      <c r="A512" s="5" t="s">
        <v>889</v>
      </c>
      <c r="B512" s="2">
        <v>120</v>
      </c>
      <c r="C512" s="6">
        <v>4</v>
      </c>
    </row>
    <row r="513" spans="1:3" x14ac:dyDescent="0.25">
      <c r="A513" s="5" t="s">
        <v>712</v>
      </c>
      <c r="B513" s="2">
        <v>120</v>
      </c>
      <c r="C513" s="6">
        <v>4</v>
      </c>
    </row>
    <row r="514" spans="1:3" x14ac:dyDescent="0.25">
      <c r="A514" s="5" t="s">
        <v>898</v>
      </c>
      <c r="B514" s="2">
        <v>120</v>
      </c>
      <c r="C514" s="6">
        <v>4</v>
      </c>
    </row>
    <row r="515" spans="1:3" x14ac:dyDescent="0.25">
      <c r="A515" s="5" t="s">
        <v>658</v>
      </c>
      <c r="B515" s="2">
        <v>120</v>
      </c>
      <c r="C515" s="6">
        <v>4</v>
      </c>
    </row>
    <row r="516" spans="1:3" x14ac:dyDescent="0.25">
      <c r="A516" s="5" t="s">
        <v>438</v>
      </c>
      <c r="B516" s="2">
        <v>120</v>
      </c>
      <c r="C516" s="6">
        <v>4</v>
      </c>
    </row>
    <row r="517" spans="1:3" x14ac:dyDescent="0.25">
      <c r="A517" s="5" t="s">
        <v>591</v>
      </c>
      <c r="B517" s="2">
        <v>120</v>
      </c>
      <c r="C517" s="6">
        <v>4</v>
      </c>
    </row>
    <row r="518" spans="1:3" x14ac:dyDescent="0.25">
      <c r="A518" s="5" t="s">
        <v>611</v>
      </c>
      <c r="B518" s="2">
        <v>120</v>
      </c>
      <c r="C518" s="6">
        <v>4</v>
      </c>
    </row>
    <row r="519" spans="1:3" x14ac:dyDescent="0.25">
      <c r="A519" s="5" t="s">
        <v>449</v>
      </c>
      <c r="B519" s="2">
        <v>120</v>
      </c>
      <c r="C519" s="6">
        <v>4</v>
      </c>
    </row>
    <row r="520" spans="1:3" x14ac:dyDescent="0.25">
      <c r="A520" s="5" t="s">
        <v>646</v>
      </c>
      <c r="B520" s="2">
        <v>120</v>
      </c>
      <c r="C520" s="6">
        <v>4</v>
      </c>
    </row>
    <row r="521" spans="1:3" x14ac:dyDescent="0.25">
      <c r="A521" s="5" t="s">
        <v>545</v>
      </c>
      <c r="B521" s="2">
        <v>120</v>
      </c>
      <c r="C521" s="6">
        <v>4</v>
      </c>
    </row>
    <row r="522" spans="1:3" x14ac:dyDescent="0.25">
      <c r="A522" s="5" t="s">
        <v>510</v>
      </c>
      <c r="B522" s="2">
        <v>120</v>
      </c>
      <c r="C522" s="6">
        <v>4</v>
      </c>
    </row>
    <row r="523" spans="1:3" x14ac:dyDescent="0.25">
      <c r="A523" s="5" t="s">
        <v>348</v>
      </c>
      <c r="B523" s="2">
        <v>120</v>
      </c>
      <c r="C523" s="6">
        <v>4</v>
      </c>
    </row>
    <row r="524" spans="1:3" x14ac:dyDescent="0.25">
      <c r="A524" s="5" t="s">
        <v>543</v>
      </c>
      <c r="B524" s="2">
        <v>120</v>
      </c>
      <c r="C524" s="6">
        <v>4</v>
      </c>
    </row>
    <row r="525" spans="1:3" x14ac:dyDescent="0.25">
      <c r="A525" s="5" t="s">
        <v>549</v>
      </c>
      <c r="B525" s="2">
        <v>120</v>
      </c>
      <c r="C525" s="6">
        <v>4</v>
      </c>
    </row>
    <row r="526" spans="1:3" x14ac:dyDescent="0.25">
      <c r="A526" s="5" t="s">
        <v>653</v>
      </c>
      <c r="B526" s="2">
        <v>120</v>
      </c>
      <c r="C526" s="6">
        <v>4</v>
      </c>
    </row>
    <row r="527" spans="1:3" x14ac:dyDescent="0.25">
      <c r="A527" s="5" t="s">
        <v>534</v>
      </c>
      <c r="B527" s="2">
        <v>120</v>
      </c>
      <c r="C527" s="6">
        <v>4</v>
      </c>
    </row>
    <row r="528" spans="1:3" x14ac:dyDescent="0.25">
      <c r="A528" s="5" t="s">
        <v>490</v>
      </c>
      <c r="B528" s="2">
        <v>120</v>
      </c>
      <c r="C528" s="6">
        <v>4</v>
      </c>
    </row>
    <row r="529" spans="1:3" x14ac:dyDescent="0.25">
      <c r="A529" s="5" t="s">
        <v>532</v>
      </c>
      <c r="B529" s="2">
        <v>120</v>
      </c>
      <c r="C529" s="6">
        <v>4</v>
      </c>
    </row>
    <row r="530" spans="1:3" x14ac:dyDescent="0.25">
      <c r="A530" s="5" t="s">
        <v>327</v>
      </c>
      <c r="B530" s="2">
        <v>120</v>
      </c>
      <c r="C530" s="6">
        <v>4</v>
      </c>
    </row>
    <row r="531" spans="1:3" x14ac:dyDescent="0.25">
      <c r="A531" s="5" t="s">
        <v>235</v>
      </c>
      <c r="B531" s="2">
        <v>120</v>
      </c>
      <c r="C531" s="6">
        <v>4</v>
      </c>
    </row>
    <row r="532" spans="1:3" x14ac:dyDescent="0.25">
      <c r="A532" s="5" t="s">
        <v>36</v>
      </c>
      <c r="B532" s="2">
        <v>120</v>
      </c>
      <c r="C532" s="6">
        <v>4</v>
      </c>
    </row>
    <row r="533" spans="1:3" x14ac:dyDescent="0.25">
      <c r="A533" s="5" t="s">
        <v>52</v>
      </c>
      <c r="B533" s="2">
        <v>120</v>
      </c>
      <c r="C533" s="6">
        <v>4</v>
      </c>
    </row>
    <row r="534" spans="1:3" x14ac:dyDescent="0.25">
      <c r="A534" s="5" t="s">
        <v>186</v>
      </c>
      <c r="B534" s="2">
        <v>120</v>
      </c>
      <c r="C534" s="6">
        <v>4</v>
      </c>
    </row>
    <row r="535" spans="1:3" x14ac:dyDescent="0.25">
      <c r="A535" s="5" t="s">
        <v>163</v>
      </c>
      <c r="B535" s="2">
        <v>120</v>
      </c>
      <c r="C535" s="6">
        <v>4</v>
      </c>
    </row>
    <row r="536" spans="1:3" x14ac:dyDescent="0.25">
      <c r="A536" s="5" t="s">
        <v>135</v>
      </c>
      <c r="B536" s="2">
        <v>120</v>
      </c>
      <c r="C536" s="6">
        <v>4</v>
      </c>
    </row>
    <row r="537" spans="1:3" x14ac:dyDescent="0.25">
      <c r="A537" s="5" t="s">
        <v>275</v>
      </c>
      <c r="B537" s="2">
        <v>120</v>
      </c>
      <c r="C537" s="6">
        <v>4</v>
      </c>
    </row>
    <row r="538" spans="1:3" x14ac:dyDescent="0.25">
      <c r="A538" s="5" t="s">
        <v>1013</v>
      </c>
      <c r="B538" s="2">
        <v>120</v>
      </c>
      <c r="C538" s="6">
        <v>4</v>
      </c>
    </row>
    <row r="539" spans="1:3" x14ac:dyDescent="0.25">
      <c r="A539" s="5" t="s">
        <v>68</v>
      </c>
      <c r="B539" s="2">
        <v>120</v>
      </c>
      <c r="C539" s="6">
        <v>4</v>
      </c>
    </row>
    <row r="540" spans="1:3" x14ac:dyDescent="0.25">
      <c r="A540" s="5" t="s">
        <v>314</v>
      </c>
      <c r="B540" s="2">
        <v>120</v>
      </c>
      <c r="C540" s="6">
        <v>4</v>
      </c>
    </row>
    <row r="541" spans="1:3" x14ac:dyDescent="0.25">
      <c r="A541" s="5" t="s">
        <v>284</v>
      </c>
      <c r="B541" s="2">
        <v>120</v>
      </c>
      <c r="C541" s="6">
        <v>4</v>
      </c>
    </row>
    <row r="542" spans="1:3" x14ac:dyDescent="0.25">
      <c r="A542" s="5" t="s">
        <v>325</v>
      </c>
      <c r="B542" s="2">
        <v>120</v>
      </c>
      <c r="C542" s="6">
        <v>4</v>
      </c>
    </row>
    <row r="543" spans="1:3" x14ac:dyDescent="0.25">
      <c r="A543" s="5" t="s">
        <v>27</v>
      </c>
      <c r="B543" s="2">
        <v>120</v>
      </c>
      <c r="C543" s="6">
        <v>4</v>
      </c>
    </row>
    <row r="544" spans="1:3" x14ac:dyDescent="0.25">
      <c r="A544" s="5" t="s">
        <v>195</v>
      </c>
      <c r="B544" s="2">
        <v>120</v>
      </c>
      <c r="C544" s="6">
        <v>4</v>
      </c>
    </row>
    <row r="545" spans="1:3" x14ac:dyDescent="0.25">
      <c r="A545" s="5" t="s">
        <v>105</v>
      </c>
      <c r="B545" s="2">
        <v>120</v>
      </c>
      <c r="C545" s="6">
        <v>4</v>
      </c>
    </row>
    <row r="546" spans="1:3" x14ac:dyDescent="0.25">
      <c r="A546" s="5" t="s">
        <v>301</v>
      </c>
      <c r="B546" s="2">
        <v>120</v>
      </c>
      <c r="C546" s="6">
        <v>4</v>
      </c>
    </row>
    <row r="547" spans="1:3" x14ac:dyDescent="0.25">
      <c r="A547" s="5" t="s">
        <v>816</v>
      </c>
      <c r="B547" s="2">
        <v>100</v>
      </c>
      <c r="C547" s="6">
        <v>4</v>
      </c>
    </row>
    <row r="548" spans="1:3" x14ac:dyDescent="0.25">
      <c r="A548" s="5" t="s">
        <v>767</v>
      </c>
      <c r="B548" s="2">
        <v>100</v>
      </c>
      <c r="C548" s="6">
        <v>4</v>
      </c>
    </row>
    <row r="549" spans="1:3" x14ac:dyDescent="0.25">
      <c r="A549" s="5" t="s">
        <v>945</v>
      </c>
      <c r="B549" s="2">
        <v>100</v>
      </c>
      <c r="C549" s="6">
        <v>4</v>
      </c>
    </row>
    <row r="550" spans="1:3" x14ac:dyDescent="0.25">
      <c r="A550" s="5" t="s">
        <v>702</v>
      </c>
      <c r="B550" s="2">
        <v>100</v>
      </c>
      <c r="C550" s="6">
        <v>2</v>
      </c>
    </row>
    <row r="551" spans="1:3" x14ac:dyDescent="0.25">
      <c r="A551" s="5" t="s">
        <v>812</v>
      </c>
      <c r="B551" s="2">
        <v>100</v>
      </c>
      <c r="C551" s="6">
        <v>2</v>
      </c>
    </row>
    <row r="552" spans="1:3" x14ac:dyDescent="0.25">
      <c r="A552" s="5" t="s">
        <v>728</v>
      </c>
      <c r="B552" s="2">
        <v>100</v>
      </c>
      <c r="C552" s="6">
        <v>4</v>
      </c>
    </row>
    <row r="553" spans="1:3" x14ac:dyDescent="0.25">
      <c r="A553" s="5" t="s">
        <v>886</v>
      </c>
      <c r="B553" s="2">
        <v>100</v>
      </c>
      <c r="C553" s="6">
        <v>4</v>
      </c>
    </row>
    <row r="554" spans="1:3" x14ac:dyDescent="0.25">
      <c r="A554" s="5" t="s">
        <v>822</v>
      </c>
      <c r="B554" s="2">
        <v>100</v>
      </c>
      <c r="C554" s="6">
        <v>2</v>
      </c>
    </row>
    <row r="555" spans="1:3" x14ac:dyDescent="0.25">
      <c r="A555" s="5" t="s">
        <v>871</v>
      </c>
      <c r="B555" s="2">
        <v>100</v>
      </c>
      <c r="C555" s="6">
        <v>2</v>
      </c>
    </row>
    <row r="556" spans="1:3" x14ac:dyDescent="0.25">
      <c r="A556" s="5" t="s">
        <v>900</v>
      </c>
      <c r="B556" s="2">
        <v>100</v>
      </c>
      <c r="C556" s="6">
        <v>4</v>
      </c>
    </row>
    <row r="557" spans="1:3" x14ac:dyDescent="0.25">
      <c r="A557" s="5" t="s">
        <v>705</v>
      </c>
      <c r="B557" s="2">
        <v>100</v>
      </c>
      <c r="C557" s="6">
        <v>2</v>
      </c>
    </row>
    <row r="558" spans="1:3" x14ac:dyDescent="0.25">
      <c r="A558" s="5" t="s">
        <v>901</v>
      </c>
      <c r="B558" s="2">
        <v>100</v>
      </c>
      <c r="C558" s="6">
        <v>4</v>
      </c>
    </row>
    <row r="559" spans="1:3" x14ac:dyDescent="0.25">
      <c r="A559" s="5" t="s">
        <v>716</v>
      </c>
      <c r="B559" s="2">
        <v>100</v>
      </c>
      <c r="C559" s="6">
        <v>2</v>
      </c>
    </row>
    <row r="560" spans="1:3" x14ac:dyDescent="0.25">
      <c r="A560" s="5" t="s">
        <v>832</v>
      </c>
      <c r="B560" s="2">
        <v>100</v>
      </c>
      <c r="C560" s="6">
        <v>2</v>
      </c>
    </row>
    <row r="561" spans="1:3" x14ac:dyDescent="0.25">
      <c r="A561" s="5" t="s">
        <v>1004</v>
      </c>
      <c r="B561" s="2">
        <v>100</v>
      </c>
      <c r="C561" s="6">
        <v>2</v>
      </c>
    </row>
    <row r="562" spans="1:3" x14ac:dyDescent="0.25">
      <c r="A562" s="5" t="s">
        <v>1011</v>
      </c>
      <c r="B562" s="2">
        <v>100</v>
      </c>
      <c r="C562" s="6">
        <v>4</v>
      </c>
    </row>
    <row r="563" spans="1:3" x14ac:dyDescent="0.25">
      <c r="A563" s="5" t="s">
        <v>765</v>
      </c>
      <c r="B563" s="2">
        <v>100</v>
      </c>
      <c r="C563" s="6">
        <v>2</v>
      </c>
    </row>
    <row r="564" spans="1:3" x14ac:dyDescent="0.25">
      <c r="A564" s="5" t="s">
        <v>844</v>
      </c>
      <c r="B564" s="2">
        <v>100</v>
      </c>
      <c r="C564" s="6">
        <v>4</v>
      </c>
    </row>
    <row r="565" spans="1:3" x14ac:dyDescent="0.25">
      <c r="A565" s="5" t="s">
        <v>749</v>
      </c>
      <c r="B565" s="2">
        <v>100</v>
      </c>
      <c r="C565" s="6">
        <v>4</v>
      </c>
    </row>
    <row r="566" spans="1:3" x14ac:dyDescent="0.25">
      <c r="A566" s="5" t="s">
        <v>751</v>
      </c>
      <c r="B566" s="2">
        <v>100</v>
      </c>
      <c r="C566" s="6">
        <v>2</v>
      </c>
    </row>
    <row r="567" spans="1:3" x14ac:dyDescent="0.25">
      <c r="A567" s="5" t="s">
        <v>799</v>
      </c>
      <c r="B567" s="2">
        <v>100</v>
      </c>
      <c r="C567" s="6">
        <v>4</v>
      </c>
    </row>
    <row r="568" spans="1:3" x14ac:dyDescent="0.25">
      <c r="A568" s="5" t="s">
        <v>823</v>
      </c>
      <c r="B568" s="2">
        <v>100</v>
      </c>
      <c r="C568" s="6">
        <v>4</v>
      </c>
    </row>
    <row r="569" spans="1:3" x14ac:dyDescent="0.25">
      <c r="A569" s="5" t="s">
        <v>964</v>
      </c>
      <c r="B569" s="2">
        <v>100</v>
      </c>
      <c r="C569" s="6">
        <v>2</v>
      </c>
    </row>
    <row r="570" spans="1:3" x14ac:dyDescent="0.25">
      <c r="A570" s="5" t="s">
        <v>758</v>
      </c>
      <c r="B570" s="2">
        <v>100</v>
      </c>
      <c r="C570" s="6">
        <v>2</v>
      </c>
    </row>
    <row r="571" spans="1:3" x14ac:dyDescent="0.25">
      <c r="A571" s="5" t="s">
        <v>771</v>
      </c>
      <c r="B571" s="2">
        <v>100</v>
      </c>
      <c r="C571" s="6">
        <v>4</v>
      </c>
    </row>
    <row r="572" spans="1:3" x14ac:dyDescent="0.25">
      <c r="A572" s="5" t="s">
        <v>854</v>
      </c>
      <c r="B572" s="2">
        <v>100</v>
      </c>
      <c r="C572" s="6">
        <v>4</v>
      </c>
    </row>
    <row r="573" spans="1:3" x14ac:dyDescent="0.25">
      <c r="A573" s="5" t="s">
        <v>772</v>
      </c>
      <c r="B573" s="2">
        <v>100</v>
      </c>
      <c r="C573" s="6">
        <v>2</v>
      </c>
    </row>
    <row r="574" spans="1:3" x14ac:dyDescent="0.25">
      <c r="A574" s="5" t="s">
        <v>719</v>
      </c>
      <c r="B574" s="2">
        <v>100</v>
      </c>
      <c r="C574" s="6">
        <v>4</v>
      </c>
    </row>
    <row r="575" spans="1:3" x14ac:dyDescent="0.25">
      <c r="A575" s="5" t="s">
        <v>985</v>
      </c>
      <c r="B575" s="2">
        <v>100</v>
      </c>
      <c r="C575" s="6">
        <v>4</v>
      </c>
    </row>
    <row r="576" spans="1:3" x14ac:dyDescent="0.25">
      <c r="A576" s="5" t="s">
        <v>788</v>
      </c>
      <c r="B576" s="2">
        <v>100</v>
      </c>
      <c r="C576" s="6">
        <v>4</v>
      </c>
    </row>
    <row r="577" spans="1:3" x14ac:dyDescent="0.25">
      <c r="A577" s="5" t="s">
        <v>685</v>
      </c>
      <c r="B577" s="2">
        <v>100</v>
      </c>
      <c r="C577" s="6">
        <v>2</v>
      </c>
    </row>
    <row r="578" spans="1:3" x14ac:dyDescent="0.25">
      <c r="A578" s="5" t="s">
        <v>836</v>
      </c>
      <c r="B578" s="2">
        <v>100</v>
      </c>
      <c r="C578" s="6">
        <v>2</v>
      </c>
    </row>
    <row r="579" spans="1:3" x14ac:dyDescent="0.25">
      <c r="A579" s="5" t="s">
        <v>701</v>
      </c>
      <c r="B579" s="2">
        <v>100</v>
      </c>
      <c r="C579" s="6">
        <v>4</v>
      </c>
    </row>
    <row r="580" spans="1:3" x14ac:dyDescent="0.25">
      <c r="A580" s="5" t="s">
        <v>937</v>
      </c>
      <c r="B580" s="2">
        <v>100</v>
      </c>
      <c r="C580" s="6">
        <v>2</v>
      </c>
    </row>
    <row r="581" spans="1:3" x14ac:dyDescent="0.25">
      <c r="A581" s="5" t="s">
        <v>791</v>
      </c>
      <c r="B581" s="2">
        <v>100</v>
      </c>
      <c r="C581" s="6">
        <v>4</v>
      </c>
    </row>
    <row r="582" spans="1:3" x14ac:dyDescent="0.25">
      <c r="A582" s="5" t="s">
        <v>910</v>
      </c>
      <c r="B582" s="2">
        <v>100</v>
      </c>
      <c r="C582" s="6">
        <v>2</v>
      </c>
    </row>
    <row r="583" spans="1:3" x14ac:dyDescent="0.25">
      <c r="A583" s="5" t="s">
        <v>530</v>
      </c>
      <c r="B583" s="2">
        <v>100</v>
      </c>
      <c r="C583" s="6">
        <v>4</v>
      </c>
    </row>
    <row r="584" spans="1:3" x14ac:dyDescent="0.25">
      <c r="A584" s="5" t="s">
        <v>588</v>
      </c>
      <c r="B584" s="2">
        <v>100</v>
      </c>
      <c r="C584" s="6">
        <v>2</v>
      </c>
    </row>
    <row r="585" spans="1:3" x14ac:dyDescent="0.25">
      <c r="A585" s="5" t="s">
        <v>612</v>
      </c>
      <c r="B585" s="2">
        <v>100</v>
      </c>
      <c r="C585" s="6">
        <v>2</v>
      </c>
    </row>
    <row r="586" spans="1:3" x14ac:dyDescent="0.25">
      <c r="A586" s="5" t="s">
        <v>604</v>
      </c>
      <c r="B586" s="2">
        <v>100</v>
      </c>
      <c r="C586" s="6">
        <v>4</v>
      </c>
    </row>
    <row r="587" spans="1:3" x14ac:dyDescent="0.25">
      <c r="A587" s="5" t="s">
        <v>665</v>
      </c>
      <c r="B587" s="2">
        <v>100</v>
      </c>
      <c r="C587" s="6">
        <v>2</v>
      </c>
    </row>
    <row r="588" spans="1:3" x14ac:dyDescent="0.25">
      <c r="A588" s="5" t="s">
        <v>629</v>
      </c>
      <c r="B588" s="2">
        <v>100</v>
      </c>
      <c r="C588" s="6">
        <v>2</v>
      </c>
    </row>
    <row r="589" spans="1:3" x14ac:dyDescent="0.25">
      <c r="A589" s="5" t="s">
        <v>419</v>
      </c>
      <c r="B589" s="2">
        <v>100</v>
      </c>
      <c r="C589" s="6">
        <v>4</v>
      </c>
    </row>
    <row r="590" spans="1:3" x14ac:dyDescent="0.25">
      <c r="A590" s="5" t="s">
        <v>632</v>
      </c>
      <c r="B590" s="2">
        <v>100</v>
      </c>
      <c r="C590" s="6">
        <v>4</v>
      </c>
    </row>
    <row r="591" spans="1:3" x14ac:dyDescent="0.25">
      <c r="A591" s="5" t="s">
        <v>655</v>
      </c>
      <c r="B591" s="2">
        <v>100</v>
      </c>
      <c r="C591" s="6">
        <v>4</v>
      </c>
    </row>
    <row r="592" spans="1:3" x14ac:dyDescent="0.25">
      <c r="A592" s="5" t="s">
        <v>533</v>
      </c>
      <c r="B592" s="2">
        <v>100</v>
      </c>
      <c r="C592" s="6">
        <v>4</v>
      </c>
    </row>
    <row r="593" spans="1:3" x14ac:dyDescent="0.25">
      <c r="A593" s="5" t="s">
        <v>423</v>
      </c>
      <c r="B593" s="2">
        <v>100</v>
      </c>
      <c r="C593" s="6">
        <v>2</v>
      </c>
    </row>
    <row r="594" spans="1:3" x14ac:dyDescent="0.25">
      <c r="A594" s="5" t="s">
        <v>511</v>
      </c>
      <c r="B594" s="2">
        <v>100</v>
      </c>
      <c r="C594" s="6">
        <v>4</v>
      </c>
    </row>
    <row r="595" spans="1:3" x14ac:dyDescent="0.25">
      <c r="A595" s="5" t="s">
        <v>529</v>
      </c>
      <c r="B595" s="2">
        <v>100</v>
      </c>
      <c r="C595" s="6">
        <v>4</v>
      </c>
    </row>
    <row r="596" spans="1:3" x14ac:dyDescent="0.25">
      <c r="A596" s="5" t="s">
        <v>596</v>
      </c>
      <c r="B596" s="2">
        <v>100</v>
      </c>
      <c r="C596" s="6">
        <v>4</v>
      </c>
    </row>
    <row r="597" spans="1:3" x14ac:dyDescent="0.25">
      <c r="A597" s="5" t="s">
        <v>403</v>
      </c>
      <c r="B597" s="2">
        <v>100</v>
      </c>
      <c r="C597" s="6">
        <v>2</v>
      </c>
    </row>
    <row r="598" spans="1:3" x14ac:dyDescent="0.25">
      <c r="A598" s="5" t="s">
        <v>577</v>
      </c>
      <c r="B598" s="2">
        <v>100</v>
      </c>
      <c r="C598" s="6">
        <v>2</v>
      </c>
    </row>
    <row r="599" spans="1:3" x14ac:dyDescent="0.25">
      <c r="A599" s="5" t="s">
        <v>505</v>
      </c>
      <c r="B599" s="2">
        <v>100</v>
      </c>
      <c r="C599" s="6">
        <v>4</v>
      </c>
    </row>
    <row r="600" spans="1:3" x14ac:dyDescent="0.25">
      <c r="A600" s="5" t="s">
        <v>471</v>
      </c>
      <c r="B600" s="2">
        <v>100</v>
      </c>
      <c r="C600" s="6">
        <v>4</v>
      </c>
    </row>
    <row r="601" spans="1:3" x14ac:dyDescent="0.25">
      <c r="A601" s="5" t="s">
        <v>394</v>
      </c>
      <c r="B601" s="2">
        <v>100</v>
      </c>
      <c r="C601" s="6">
        <v>4</v>
      </c>
    </row>
    <row r="602" spans="1:3" x14ac:dyDescent="0.25">
      <c r="A602" s="5" t="s">
        <v>562</v>
      </c>
      <c r="B602" s="2">
        <v>100</v>
      </c>
      <c r="C602" s="6">
        <v>2</v>
      </c>
    </row>
    <row r="603" spans="1:3" x14ac:dyDescent="0.25">
      <c r="A603" s="5" t="s">
        <v>524</v>
      </c>
      <c r="B603" s="2">
        <v>100</v>
      </c>
      <c r="C603" s="6">
        <v>2</v>
      </c>
    </row>
    <row r="604" spans="1:3" x14ac:dyDescent="0.25">
      <c r="A604" s="5" t="s">
        <v>643</v>
      </c>
      <c r="B604" s="2">
        <v>100</v>
      </c>
      <c r="C604" s="6">
        <v>2</v>
      </c>
    </row>
    <row r="605" spans="1:3" x14ac:dyDescent="0.25">
      <c r="A605" s="5" t="s">
        <v>379</v>
      </c>
      <c r="B605" s="2">
        <v>100</v>
      </c>
      <c r="C605" s="6">
        <v>2</v>
      </c>
    </row>
    <row r="606" spans="1:3" x14ac:dyDescent="0.25">
      <c r="A606" s="5" t="s">
        <v>645</v>
      </c>
      <c r="B606" s="2">
        <v>100</v>
      </c>
      <c r="C606" s="6">
        <v>4</v>
      </c>
    </row>
    <row r="607" spans="1:3" x14ac:dyDescent="0.25">
      <c r="A607" s="5" t="s">
        <v>622</v>
      </c>
      <c r="B607" s="2">
        <v>100</v>
      </c>
      <c r="C607" s="6">
        <v>2</v>
      </c>
    </row>
    <row r="608" spans="1:3" x14ac:dyDescent="0.25">
      <c r="A608" s="5" t="s">
        <v>351</v>
      </c>
      <c r="B608" s="2">
        <v>100</v>
      </c>
      <c r="C608" s="6">
        <v>2</v>
      </c>
    </row>
    <row r="609" spans="1:3" x14ac:dyDescent="0.25">
      <c r="A609" s="5" t="s">
        <v>468</v>
      </c>
      <c r="B609" s="2">
        <v>100</v>
      </c>
      <c r="C609" s="6">
        <v>4</v>
      </c>
    </row>
    <row r="610" spans="1:3" x14ac:dyDescent="0.25">
      <c r="A610" s="5" t="s">
        <v>373</v>
      </c>
      <c r="B610" s="2">
        <v>100</v>
      </c>
      <c r="C610" s="6">
        <v>4</v>
      </c>
    </row>
    <row r="611" spans="1:3" x14ac:dyDescent="0.25">
      <c r="A611" s="5" t="s">
        <v>674</v>
      </c>
      <c r="B611" s="2">
        <v>100</v>
      </c>
      <c r="C611" s="6">
        <v>4</v>
      </c>
    </row>
    <row r="612" spans="1:3" x14ac:dyDescent="0.25">
      <c r="A612" s="5" t="s">
        <v>479</v>
      </c>
      <c r="B612" s="2">
        <v>100</v>
      </c>
      <c r="C612" s="6">
        <v>4</v>
      </c>
    </row>
    <row r="613" spans="1:3" x14ac:dyDescent="0.25">
      <c r="A613" s="5" t="s">
        <v>427</v>
      </c>
      <c r="B613" s="2">
        <v>100</v>
      </c>
      <c r="C613" s="6">
        <v>4</v>
      </c>
    </row>
    <row r="614" spans="1:3" x14ac:dyDescent="0.25">
      <c r="A614" s="5" t="s">
        <v>539</v>
      </c>
      <c r="B614" s="2">
        <v>100</v>
      </c>
      <c r="C614" s="6">
        <v>2</v>
      </c>
    </row>
    <row r="615" spans="1:3" x14ac:dyDescent="0.25">
      <c r="A615" s="5" t="s">
        <v>455</v>
      </c>
      <c r="B615" s="2">
        <v>100</v>
      </c>
      <c r="C615" s="6">
        <v>4</v>
      </c>
    </row>
    <row r="616" spans="1:3" x14ac:dyDescent="0.25">
      <c r="A616" s="5" t="s">
        <v>628</v>
      </c>
      <c r="B616" s="2">
        <v>100</v>
      </c>
      <c r="C616" s="6">
        <v>4</v>
      </c>
    </row>
    <row r="617" spans="1:3" x14ac:dyDescent="0.25">
      <c r="A617" s="5" t="s">
        <v>526</v>
      </c>
      <c r="B617" s="2">
        <v>100</v>
      </c>
      <c r="C617" s="6">
        <v>4</v>
      </c>
    </row>
    <row r="618" spans="1:3" x14ac:dyDescent="0.25">
      <c r="A618" s="5" t="s">
        <v>513</v>
      </c>
      <c r="B618" s="2">
        <v>100</v>
      </c>
      <c r="C618" s="6">
        <v>4</v>
      </c>
    </row>
    <row r="619" spans="1:3" x14ac:dyDescent="0.25">
      <c r="A619" s="5" t="s">
        <v>341</v>
      </c>
      <c r="B619" s="2">
        <v>100</v>
      </c>
      <c r="C619" s="6">
        <v>2</v>
      </c>
    </row>
    <row r="620" spans="1:3" x14ac:dyDescent="0.25">
      <c r="A620" s="5" t="s">
        <v>66</v>
      </c>
      <c r="B620" s="2">
        <v>100</v>
      </c>
      <c r="C620" s="6">
        <v>2</v>
      </c>
    </row>
    <row r="621" spans="1:3" x14ac:dyDescent="0.25">
      <c r="A621" s="5" t="s">
        <v>240</v>
      </c>
      <c r="B621" s="2">
        <v>100</v>
      </c>
      <c r="C621" s="6">
        <v>2</v>
      </c>
    </row>
    <row r="622" spans="1:3" x14ac:dyDescent="0.25">
      <c r="A622" s="5" t="s">
        <v>291</v>
      </c>
      <c r="B622" s="2">
        <v>100</v>
      </c>
      <c r="C622" s="6">
        <v>4</v>
      </c>
    </row>
    <row r="623" spans="1:3" x14ac:dyDescent="0.25">
      <c r="A623" s="5" t="s">
        <v>75</v>
      </c>
      <c r="B623" s="2">
        <v>100</v>
      </c>
      <c r="C623" s="6">
        <v>2</v>
      </c>
    </row>
    <row r="624" spans="1:3" x14ac:dyDescent="0.25">
      <c r="A624" s="5" t="s">
        <v>84</v>
      </c>
      <c r="B624" s="2">
        <v>100</v>
      </c>
      <c r="C624" s="6">
        <v>4</v>
      </c>
    </row>
    <row r="625" spans="1:3" x14ac:dyDescent="0.25">
      <c r="A625" s="5" t="s">
        <v>290</v>
      </c>
      <c r="B625" s="2">
        <v>100</v>
      </c>
      <c r="C625" s="6">
        <v>4</v>
      </c>
    </row>
    <row r="626" spans="1:3" x14ac:dyDescent="0.25">
      <c r="A626" s="5" t="s">
        <v>173</v>
      </c>
      <c r="B626" s="2">
        <v>100</v>
      </c>
      <c r="C626" s="6">
        <v>2</v>
      </c>
    </row>
    <row r="627" spans="1:3" x14ac:dyDescent="0.25">
      <c r="A627" s="5" t="s">
        <v>324</v>
      </c>
      <c r="B627" s="2">
        <v>100</v>
      </c>
      <c r="C627" s="6">
        <v>4</v>
      </c>
    </row>
    <row r="628" spans="1:3" x14ac:dyDescent="0.25">
      <c r="A628" s="5" t="s">
        <v>127</v>
      </c>
      <c r="B628" s="2">
        <v>100</v>
      </c>
      <c r="C628" s="6">
        <v>4</v>
      </c>
    </row>
    <row r="629" spans="1:3" x14ac:dyDescent="0.25">
      <c r="A629" s="5" t="s">
        <v>189</v>
      </c>
      <c r="B629" s="2">
        <v>100</v>
      </c>
      <c r="C629" s="6">
        <v>2</v>
      </c>
    </row>
    <row r="630" spans="1:3" x14ac:dyDescent="0.25">
      <c r="A630" s="5" t="s">
        <v>46</v>
      </c>
      <c r="B630" s="2">
        <v>100</v>
      </c>
      <c r="C630" s="6">
        <v>2</v>
      </c>
    </row>
    <row r="631" spans="1:3" x14ac:dyDescent="0.25">
      <c r="A631" s="5" t="s">
        <v>24</v>
      </c>
      <c r="B631" s="2">
        <v>100</v>
      </c>
      <c r="C631" s="6">
        <v>2</v>
      </c>
    </row>
    <row r="632" spans="1:3" x14ac:dyDescent="0.25">
      <c r="A632" s="5" t="s">
        <v>138</v>
      </c>
      <c r="B632" s="2">
        <v>100</v>
      </c>
      <c r="C632" s="6">
        <v>2</v>
      </c>
    </row>
    <row r="633" spans="1:3" x14ac:dyDescent="0.25">
      <c r="A633" s="5" t="s">
        <v>257</v>
      </c>
      <c r="B633" s="2">
        <v>100</v>
      </c>
      <c r="C633" s="6">
        <v>2</v>
      </c>
    </row>
    <row r="634" spans="1:3" x14ac:dyDescent="0.25">
      <c r="A634" s="5" t="s">
        <v>300</v>
      </c>
      <c r="B634" s="2">
        <v>100</v>
      </c>
      <c r="C634" s="6">
        <v>4</v>
      </c>
    </row>
    <row r="635" spans="1:3" x14ac:dyDescent="0.25">
      <c r="A635" s="5" t="s">
        <v>200</v>
      </c>
      <c r="B635" s="2">
        <v>100</v>
      </c>
      <c r="C635" s="6">
        <v>2</v>
      </c>
    </row>
    <row r="636" spans="1:3" x14ac:dyDescent="0.25">
      <c r="A636" s="5" t="s">
        <v>96</v>
      </c>
      <c r="B636" s="2">
        <v>100</v>
      </c>
      <c r="C636" s="6">
        <v>2</v>
      </c>
    </row>
    <row r="637" spans="1:3" x14ac:dyDescent="0.25">
      <c r="A637" s="5" t="s">
        <v>285</v>
      </c>
      <c r="B637" s="2">
        <v>100</v>
      </c>
      <c r="C637" s="6">
        <v>2</v>
      </c>
    </row>
    <row r="638" spans="1:3" x14ac:dyDescent="0.25">
      <c r="A638" s="5" t="s">
        <v>18</v>
      </c>
      <c r="B638" s="2">
        <v>100</v>
      </c>
      <c r="C638" s="6">
        <v>2</v>
      </c>
    </row>
    <row r="639" spans="1:3" x14ac:dyDescent="0.25">
      <c r="A639" s="5" t="s">
        <v>100</v>
      </c>
      <c r="B639" s="2">
        <v>100</v>
      </c>
      <c r="C639" s="6">
        <v>2</v>
      </c>
    </row>
    <row r="640" spans="1:3" x14ac:dyDescent="0.25">
      <c r="A640" s="5" t="s">
        <v>111</v>
      </c>
      <c r="B640" s="2">
        <v>100</v>
      </c>
      <c r="C640" s="6">
        <v>2</v>
      </c>
    </row>
    <row r="641" spans="1:3" x14ac:dyDescent="0.25">
      <c r="A641" s="5" t="s">
        <v>205</v>
      </c>
      <c r="B641" s="2">
        <v>100</v>
      </c>
      <c r="C641" s="6">
        <v>2</v>
      </c>
    </row>
    <row r="642" spans="1:3" x14ac:dyDescent="0.25">
      <c r="A642" s="5" t="s">
        <v>35</v>
      </c>
      <c r="B642" s="2">
        <v>100</v>
      </c>
      <c r="C642" s="6">
        <v>2</v>
      </c>
    </row>
    <row r="643" spans="1:3" x14ac:dyDescent="0.25">
      <c r="A643" s="5" t="s">
        <v>190</v>
      </c>
      <c r="B643" s="2">
        <v>100</v>
      </c>
      <c r="C643" s="6">
        <v>2</v>
      </c>
    </row>
    <row r="644" spans="1:3" x14ac:dyDescent="0.25">
      <c r="A644" s="5" t="s">
        <v>229</v>
      </c>
      <c r="B644" s="2">
        <v>100</v>
      </c>
      <c r="C644" s="6">
        <v>2</v>
      </c>
    </row>
    <row r="645" spans="1:3" x14ac:dyDescent="0.25">
      <c r="A645" s="5" t="s">
        <v>21</v>
      </c>
      <c r="B645" s="2">
        <v>100</v>
      </c>
      <c r="C645" s="6">
        <v>4</v>
      </c>
    </row>
    <row r="646" spans="1:3" x14ac:dyDescent="0.25">
      <c r="A646" s="5" t="s">
        <v>30</v>
      </c>
      <c r="B646" s="2">
        <v>100</v>
      </c>
      <c r="C646" s="6">
        <v>4</v>
      </c>
    </row>
    <row r="647" spans="1:3" x14ac:dyDescent="0.25">
      <c r="A647" s="5" t="s">
        <v>289</v>
      </c>
      <c r="B647" s="2">
        <v>100</v>
      </c>
      <c r="C647" s="6">
        <v>4</v>
      </c>
    </row>
    <row r="648" spans="1:3" x14ac:dyDescent="0.25">
      <c r="A648" s="5" t="s">
        <v>89</v>
      </c>
      <c r="B648" s="2">
        <v>100</v>
      </c>
      <c r="C648" s="6">
        <v>2</v>
      </c>
    </row>
    <row r="649" spans="1:3" x14ac:dyDescent="0.25">
      <c r="A649" s="5" t="s">
        <v>342</v>
      </c>
      <c r="B649" s="2">
        <v>100</v>
      </c>
      <c r="C649" s="6">
        <v>4</v>
      </c>
    </row>
    <row r="650" spans="1:3" x14ac:dyDescent="0.25">
      <c r="A650" s="5" t="s">
        <v>90</v>
      </c>
      <c r="B650" s="2">
        <v>100</v>
      </c>
      <c r="C650" s="6">
        <v>2</v>
      </c>
    </row>
    <row r="651" spans="1:3" x14ac:dyDescent="0.25">
      <c r="A651" s="5" t="s">
        <v>77</v>
      </c>
      <c r="B651" s="2">
        <v>100</v>
      </c>
      <c r="C651" s="6">
        <v>4</v>
      </c>
    </row>
    <row r="652" spans="1:3" x14ac:dyDescent="0.25">
      <c r="A652" s="5" t="s">
        <v>169</v>
      </c>
      <c r="B652" s="2">
        <v>100</v>
      </c>
      <c r="C652" s="6">
        <v>4</v>
      </c>
    </row>
    <row r="653" spans="1:3" x14ac:dyDescent="0.25">
      <c r="A653" s="5" t="s">
        <v>238</v>
      </c>
      <c r="B653" s="2">
        <v>100</v>
      </c>
      <c r="C653" s="6">
        <v>4</v>
      </c>
    </row>
    <row r="654" spans="1:3" x14ac:dyDescent="0.25">
      <c r="A654" s="5" t="s">
        <v>188</v>
      </c>
      <c r="B654" s="2">
        <v>100</v>
      </c>
      <c r="C654" s="6">
        <v>4</v>
      </c>
    </row>
    <row r="655" spans="1:3" x14ac:dyDescent="0.25">
      <c r="A655" s="5" t="s">
        <v>966</v>
      </c>
      <c r="B655" s="2">
        <v>90</v>
      </c>
      <c r="C655" s="6">
        <v>3</v>
      </c>
    </row>
    <row r="656" spans="1:3" x14ac:dyDescent="0.25">
      <c r="A656" s="5" t="s">
        <v>789</v>
      </c>
      <c r="B656" s="2">
        <v>90</v>
      </c>
      <c r="C656" s="6">
        <v>3</v>
      </c>
    </row>
    <row r="657" spans="1:3" x14ac:dyDescent="0.25">
      <c r="A657" s="5" t="s">
        <v>926</v>
      </c>
      <c r="B657" s="2">
        <v>90</v>
      </c>
      <c r="C657" s="6">
        <v>3</v>
      </c>
    </row>
    <row r="658" spans="1:3" x14ac:dyDescent="0.25">
      <c r="A658" s="5" t="s">
        <v>874</v>
      </c>
      <c r="B658" s="2">
        <v>90</v>
      </c>
      <c r="C658" s="6">
        <v>3</v>
      </c>
    </row>
    <row r="659" spans="1:3" x14ac:dyDescent="0.25">
      <c r="A659" s="5" t="s">
        <v>717</v>
      </c>
      <c r="B659" s="2">
        <v>90</v>
      </c>
      <c r="C659" s="6">
        <v>3</v>
      </c>
    </row>
    <row r="660" spans="1:3" x14ac:dyDescent="0.25">
      <c r="A660" s="5" t="s">
        <v>704</v>
      </c>
      <c r="B660" s="2">
        <v>90</v>
      </c>
      <c r="C660" s="6">
        <v>3</v>
      </c>
    </row>
    <row r="661" spans="1:3" x14ac:dyDescent="0.25">
      <c r="A661" s="5" t="s">
        <v>759</v>
      </c>
      <c r="B661" s="2">
        <v>90</v>
      </c>
      <c r="C661" s="6">
        <v>3</v>
      </c>
    </row>
    <row r="662" spans="1:3" x14ac:dyDescent="0.25">
      <c r="A662" s="5" t="s">
        <v>842</v>
      </c>
      <c r="B662" s="2">
        <v>90</v>
      </c>
      <c r="C662" s="6">
        <v>3</v>
      </c>
    </row>
    <row r="663" spans="1:3" x14ac:dyDescent="0.25">
      <c r="A663" s="5" t="s">
        <v>928</v>
      </c>
      <c r="B663" s="2">
        <v>90</v>
      </c>
      <c r="C663" s="6">
        <v>3</v>
      </c>
    </row>
    <row r="664" spans="1:3" x14ac:dyDescent="0.25">
      <c r="A664" s="5" t="s">
        <v>1010</v>
      </c>
      <c r="B664" s="2">
        <v>90</v>
      </c>
      <c r="C664" s="6">
        <v>3</v>
      </c>
    </row>
    <row r="665" spans="1:3" x14ac:dyDescent="0.25">
      <c r="A665" s="5" t="s">
        <v>995</v>
      </c>
      <c r="B665" s="2">
        <v>90</v>
      </c>
      <c r="C665" s="6">
        <v>3</v>
      </c>
    </row>
    <row r="666" spans="1:3" x14ac:dyDescent="0.25">
      <c r="A666" s="5" t="s">
        <v>911</v>
      </c>
      <c r="B666" s="2">
        <v>90</v>
      </c>
      <c r="C666" s="6">
        <v>3</v>
      </c>
    </row>
    <row r="667" spans="1:3" x14ac:dyDescent="0.25">
      <c r="A667" s="5" t="s">
        <v>931</v>
      </c>
      <c r="B667" s="2">
        <v>90</v>
      </c>
      <c r="C667" s="6">
        <v>3</v>
      </c>
    </row>
    <row r="668" spans="1:3" x14ac:dyDescent="0.25">
      <c r="A668" s="5" t="s">
        <v>692</v>
      </c>
      <c r="B668" s="2">
        <v>90</v>
      </c>
      <c r="C668" s="6">
        <v>3</v>
      </c>
    </row>
    <row r="669" spans="1:3" x14ac:dyDescent="0.25">
      <c r="A669" s="5" t="s">
        <v>850</v>
      </c>
      <c r="B669" s="2">
        <v>90</v>
      </c>
      <c r="C669" s="6">
        <v>3</v>
      </c>
    </row>
    <row r="670" spans="1:3" x14ac:dyDescent="0.25">
      <c r="A670" s="5" t="s">
        <v>435</v>
      </c>
      <c r="B670" s="2">
        <v>90</v>
      </c>
      <c r="C670" s="6">
        <v>3</v>
      </c>
    </row>
    <row r="671" spans="1:3" x14ac:dyDescent="0.25">
      <c r="A671" s="5" t="s">
        <v>659</v>
      </c>
      <c r="B671" s="2">
        <v>90</v>
      </c>
      <c r="C671" s="6">
        <v>3</v>
      </c>
    </row>
    <row r="672" spans="1:3" x14ac:dyDescent="0.25">
      <c r="A672" s="5" t="s">
        <v>548</v>
      </c>
      <c r="B672" s="2">
        <v>90</v>
      </c>
      <c r="C672" s="6">
        <v>3</v>
      </c>
    </row>
    <row r="673" spans="1:3" x14ac:dyDescent="0.25">
      <c r="A673" s="5" t="s">
        <v>457</v>
      </c>
      <c r="B673" s="2">
        <v>90</v>
      </c>
      <c r="C673" s="6">
        <v>3</v>
      </c>
    </row>
    <row r="674" spans="1:3" x14ac:dyDescent="0.25">
      <c r="A674" s="5" t="s">
        <v>432</v>
      </c>
      <c r="B674" s="2">
        <v>90</v>
      </c>
      <c r="C674" s="6">
        <v>3</v>
      </c>
    </row>
    <row r="675" spans="1:3" x14ac:dyDescent="0.25">
      <c r="A675" s="5" t="s">
        <v>364</v>
      </c>
      <c r="B675" s="2">
        <v>90</v>
      </c>
      <c r="C675" s="6">
        <v>3</v>
      </c>
    </row>
    <row r="676" spans="1:3" x14ac:dyDescent="0.25">
      <c r="A676" s="5" t="s">
        <v>644</v>
      </c>
      <c r="B676" s="2">
        <v>90</v>
      </c>
      <c r="C676" s="6">
        <v>3</v>
      </c>
    </row>
    <row r="677" spans="1:3" x14ac:dyDescent="0.25">
      <c r="A677" s="5" t="s">
        <v>396</v>
      </c>
      <c r="B677" s="2">
        <v>90</v>
      </c>
      <c r="C677" s="6">
        <v>3</v>
      </c>
    </row>
    <row r="678" spans="1:3" x14ac:dyDescent="0.25">
      <c r="A678" s="5" t="s">
        <v>656</v>
      </c>
      <c r="B678" s="2">
        <v>90</v>
      </c>
      <c r="C678" s="6">
        <v>3</v>
      </c>
    </row>
    <row r="679" spans="1:3" x14ac:dyDescent="0.25">
      <c r="A679" s="5" t="s">
        <v>616</v>
      </c>
      <c r="B679" s="2">
        <v>90</v>
      </c>
      <c r="C679" s="6">
        <v>3</v>
      </c>
    </row>
    <row r="680" spans="1:3" x14ac:dyDescent="0.25">
      <c r="A680" s="5" t="s">
        <v>669</v>
      </c>
      <c r="B680" s="2">
        <v>90</v>
      </c>
      <c r="C680" s="6">
        <v>3</v>
      </c>
    </row>
    <row r="681" spans="1:3" x14ac:dyDescent="0.25">
      <c r="A681" s="5" t="s">
        <v>626</v>
      </c>
      <c r="B681" s="2">
        <v>90</v>
      </c>
      <c r="C681" s="6">
        <v>3</v>
      </c>
    </row>
    <row r="682" spans="1:3" x14ac:dyDescent="0.25">
      <c r="A682" s="5" t="s">
        <v>570</v>
      </c>
      <c r="B682" s="2">
        <v>90</v>
      </c>
      <c r="C682" s="6">
        <v>3</v>
      </c>
    </row>
    <row r="683" spans="1:3" x14ac:dyDescent="0.25">
      <c r="A683" s="5" t="s">
        <v>344</v>
      </c>
      <c r="B683" s="2">
        <v>90</v>
      </c>
      <c r="C683" s="6">
        <v>3</v>
      </c>
    </row>
    <row r="684" spans="1:3" x14ac:dyDescent="0.25">
      <c r="A684" s="5" t="s">
        <v>316</v>
      </c>
      <c r="B684" s="2">
        <v>90</v>
      </c>
      <c r="C684" s="6">
        <v>3</v>
      </c>
    </row>
    <row r="685" spans="1:3" x14ac:dyDescent="0.25">
      <c r="A685" s="5" t="s">
        <v>306</v>
      </c>
      <c r="B685" s="2">
        <v>90</v>
      </c>
      <c r="C685" s="6">
        <v>3</v>
      </c>
    </row>
    <row r="686" spans="1:3" x14ac:dyDescent="0.25">
      <c r="A686" s="5" t="s">
        <v>242</v>
      </c>
      <c r="B686" s="2">
        <v>90</v>
      </c>
      <c r="C686" s="6">
        <v>3</v>
      </c>
    </row>
    <row r="687" spans="1:3" x14ac:dyDescent="0.25">
      <c r="A687" s="5" t="s">
        <v>231</v>
      </c>
      <c r="B687" s="2">
        <v>90</v>
      </c>
      <c r="C687" s="6">
        <v>3</v>
      </c>
    </row>
    <row r="688" spans="1:3" x14ac:dyDescent="0.25">
      <c r="A688" s="5" t="s">
        <v>97</v>
      </c>
      <c r="B688" s="2">
        <v>90</v>
      </c>
      <c r="C688" s="6">
        <v>3</v>
      </c>
    </row>
    <row r="689" spans="1:3" x14ac:dyDescent="0.25">
      <c r="A689" s="5" t="s">
        <v>86</v>
      </c>
      <c r="B689" s="2">
        <v>90</v>
      </c>
      <c r="C689" s="6">
        <v>3</v>
      </c>
    </row>
    <row r="690" spans="1:3" x14ac:dyDescent="0.25">
      <c r="A690" s="5" t="s">
        <v>99</v>
      </c>
      <c r="B690" s="2">
        <v>90</v>
      </c>
      <c r="C690" s="6">
        <v>3</v>
      </c>
    </row>
    <row r="691" spans="1:3" x14ac:dyDescent="0.25">
      <c r="A691" s="5" t="s">
        <v>307</v>
      </c>
      <c r="B691" s="2">
        <v>90</v>
      </c>
      <c r="C691" s="6">
        <v>3</v>
      </c>
    </row>
    <row r="692" spans="1:3" x14ac:dyDescent="0.25">
      <c r="A692" s="5" t="s">
        <v>258</v>
      </c>
      <c r="B692" s="2">
        <v>90</v>
      </c>
      <c r="C692" s="6">
        <v>3</v>
      </c>
    </row>
    <row r="693" spans="1:3" x14ac:dyDescent="0.25">
      <c r="A693" s="5" t="s">
        <v>330</v>
      </c>
      <c r="B693" s="2">
        <v>90</v>
      </c>
      <c r="C693" s="6">
        <v>3</v>
      </c>
    </row>
    <row r="694" spans="1:3" x14ac:dyDescent="0.25">
      <c r="A694" s="5" t="s">
        <v>139</v>
      </c>
      <c r="B694" s="2">
        <v>90</v>
      </c>
      <c r="C694" s="6">
        <v>3</v>
      </c>
    </row>
    <row r="695" spans="1:3" x14ac:dyDescent="0.25">
      <c r="A695" s="5" t="s">
        <v>232</v>
      </c>
      <c r="B695" s="2">
        <v>90</v>
      </c>
      <c r="C695" s="6">
        <v>3</v>
      </c>
    </row>
    <row r="696" spans="1:3" x14ac:dyDescent="0.25">
      <c r="A696" s="5" t="s">
        <v>280</v>
      </c>
      <c r="B696" s="2">
        <v>90</v>
      </c>
      <c r="C696" s="6">
        <v>3</v>
      </c>
    </row>
    <row r="697" spans="1:3" x14ac:dyDescent="0.25">
      <c r="A697" s="5" t="s">
        <v>203</v>
      </c>
      <c r="B697" s="2">
        <v>90</v>
      </c>
      <c r="C697" s="6">
        <v>3</v>
      </c>
    </row>
    <row r="698" spans="1:3" x14ac:dyDescent="0.25">
      <c r="A698" s="5" t="s">
        <v>45</v>
      </c>
      <c r="B698" s="2">
        <v>90</v>
      </c>
      <c r="C698" s="6">
        <v>3</v>
      </c>
    </row>
    <row r="699" spans="1:3" x14ac:dyDescent="0.25">
      <c r="A699" s="5" t="s">
        <v>933</v>
      </c>
      <c r="B699" s="2">
        <v>75</v>
      </c>
      <c r="C699" s="6">
        <v>3</v>
      </c>
    </row>
    <row r="700" spans="1:3" x14ac:dyDescent="0.25">
      <c r="A700" s="5" t="s">
        <v>961</v>
      </c>
      <c r="B700" s="2">
        <v>75</v>
      </c>
      <c r="C700" s="6">
        <v>3</v>
      </c>
    </row>
    <row r="701" spans="1:3" x14ac:dyDescent="0.25">
      <c r="A701" s="5" t="s">
        <v>731</v>
      </c>
      <c r="B701" s="2">
        <v>75</v>
      </c>
      <c r="C701" s="6">
        <v>3</v>
      </c>
    </row>
    <row r="702" spans="1:3" x14ac:dyDescent="0.25">
      <c r="A702" s="5" t="s">
        <v>885</v>
      </c>
      <c r="B702" s="2">
        <v>75</v>
      </c>
      <c r="C702" s="6">
        <v>3</v>
      </c>
    </row>
    <row r="703" spans="1:3" x14ac:dyDescent="0.25">
      <c r="A703" s="5" t="s">
        <v>1001</v>
      </c>
      <c r="B703" s="2">
        <v>75</v>
      </c>
      <c r="C703" s="6">
        <v>3</v>
      </c>
    </row>
    <row r="704" spans="1:3" x14ac:dyDescent="0.25">
      <c r="A704" s="5" t="s">
        <v>810</v>
      </c>
      <c r="B704" s="2">
        <v>75</v>
      </c>
      <c r="C704" s="6">
        <v>3</v>
      </c>
    </row>
    <row r="705" spans="1:3" x14ac:dyDescent="0.25">
      <c r="A705" s="5" t="s">
        <v>768</v>
      </c>
      <c r="B705" s="2">
        <v>75</v>
      </c>
      <c r="C705" s="6">
        <v>3</v>
      </c>
    </row>
    <row r="706" spans="1:3" x14ac:dyDescent="0.25">
      <c r="A706" s="5" t="s">
        <v>828</v>
      </c>
      <c r="B706" s="2">
        <v>75</v>
      </c>
      <c r="C706" s="6">
        <v>3</v>
      </c>
    </row>
    <row r="707" spans="1:3" x14ac:dyDescent="0.25">
      <c r="A707" s="5" t="s">
        <v>993</v>
      </c>
      <c r="B707" s="2">
        <v>75</v>
      </c>
      <c r="C707" s="6">
        <v>3</v>
      </c>
    </row>
    <row r="708" spans="1:3" x14ac:dyDescent="0.25">
      <c r="A708" s="5" t="s">
        <v>780</v>
      </c>
      <c r="B708" s="2">
        <v>75</v>
      </c>
      <c r="C708" s="6">
        <v>3</v>
      </c>
    </row>
    <row r="709" spans="1:3" x14ac:dyDescent="0.25">
      <c r="A709" s="5" t="s">
        <v>861</v>
      </c>
      <c r="B709" s="2">
        <v>75</v>
      </c>
      <c r="C709" s="6">
        <v>3</v>
      </c>
    </row>
    <row r="710" spans="1:3" x14ac:dyDescent="0.25">
      <c r="A710" s="5" t="s">
        <v>763</v>
      </c>
      <c r="B710" s="2">
        <v>75</v>
      </c>
      <c r="C710" s="6">
        <v>3</v>
      </c>
    </row>
    <row r="711" spans="1:3" x14ac:dyDescent="0.25">
      <c r="A711" s="5" t="s">
        <v>942</v>
      </c>
      <c r="B711" s="2">
        <v>75</v>
      </c>
      <c r="C711" s="6">
        <v>3</v>
      </c>
    </row>
    <row r="712" spans="1:3" x14ac:dyDescent="0.25">
      <c r="A712" s="5" t="s">
        <v>825</v>
      </c>
      <c r="B712" s="2">
        <v>75</v>
      </c>
      <c r="C712" s="6">
        <v>3</v>
      </c>
    </row>
    <row r="713" spans="1:3" x14ac:dyDescent="0.25">
      <c r="A713" s="5" t="s">
        <v>934</v>
      </c>
      <c r="B713" s="2">
        <v>75</v>
      </c>
      <c r="C713" s="6">
        <v>3</v>
      </c>
    </row>
    <row r="714" spans="1:3" x14ac:dyDescent="0.25">
      <c r="A714" s="5" t="s">
        <v>726</v>
      </c>
      <c r="B714" s="2">
        <v>75</v>
      </c>
      <c r="C714" s="6">
        <v>3</v>
      </c>
    </row>
    <row r="715" spans="1:3" x14ac:dyDescent="0.25">
      <c r="A715" s="5" t="s">
        <v>990</v>
      </c>
      <c r="B715" s="2">
        <v>75</v>
      </c>
      <c r="C715" s="6">
        <v>3</v>
      </c>
    </row>
    <row r="716" spans="1:3" x14ac:dyDescent="0.25">
      <c r="A716" s="5" t="s">
        <v>781</v>
      </c>
      <c r="B716" s="2">
        <v>75</v>
      </c>
      <c r="C716" s="6">
        <v>3</v>
      </c>
    </row>
    <row r="717" spans="1:3" x14ac:dyDescent="0.25">
      <c r="A717" s="5" t="s">
        <v>482</v>
      </c>
      <c r="B717" s="2">
        <v>75</v>
      </c>
      <c r="C717" s="6">
        <v>3</v>
      </c>
    </row>
    <row r="718" spans="1:3" x14ac:dyDescent="0.25">
      <c r="A718" s="5" t="s">
        <v>667</v>
      </c>
      <c r="B718" s="2">
        <v>75</v>
      </c>
      <c r="C718" s="6">
        <v>3</v>
      </c>
    </row>
    <row r="719" spans="1:3" x14ac:dyDescent="0.25">
      <c r="A719" s="5" t="s">
        <v>657</v>
      </c>
      <c r="B719" s="2">
        <v>75</v>
      </c>
      <c r="C719" s="6">
        <v>3</v>
      </c>
    </row>
    <row r="720" spans="1:3" x14ac:dyDescent="0.25">
      <c r="A720" s="5" t="s">
        <v>387</v>
      </c>
      <c r="B720" s="2">
        <v>75</v>
      </c>
      <c r="C720" s="6">
        <v>3</v>
      </c>
    </row>
    <row r="721" spans="1:3" x14ac:dyDescent="0.25">
      <c r="A721" s="5" t="s">
        <v>565</v>
      </c>
      <c r="B721" s="2">
        <v>75</v>
      </c>
      <c r="C721" s="6">
        <v>3</v>
      </c>
    </row>
    <row r="722" spans="1:3" x14ac:dyDescent="0.25">
      <c r="A722" s="5" t="s">
        <v>620</v>
      </c>
      <c r="B722" s="2">
        <v>75</v>
      </c>
      <c r="C722" s="6">
        <v>3</v>
      </c>
    </row>
    <row r="723" spans="1:3" x14ac:dyDescent="0.25">
      <c r="A723" s="5" t="s">
        <v>488</v>
      </c>
      <c r="B723" s="2">
        <v>75</v>
      </c>
      <c r="C723" s="6">
        <v>3</v>
      </c>
    </row>
    <row r="724" spans="1:3" x14ac:dyDescent="0.25">
      <c r="A724" s="5" t="s">
        <v>426</v>
      </c>
      <c r="B724" s="2">
        <v>75</v>
      </c>
      <c r="C724" s="6">
        <v>3</v>
      </c>
    </row>
    <row r="725" spans="1:3" x14ac:dyDescent="0.25">
      <c r="A725" s="5" t="s">
        <v>666</v>
      </c>
      <c r="B725" s="2">
        <v>75</v>
      </c>
      <c r="C725" s="6">
        <v>3</v>
      </c>
    </row>
    <row r="726" spans="1:3" x14ac:dyDescent="0.25">
      <c r="A726" s="5" t="s">
        <v>452</v>
      </c>
      <c r="B726" s="2">
        <v>75</v>
      </c>
      <c r="C726" s="6">
        <v>3</v>
      </c>
    </row>
    <row r="727" spans="1:3" x14ac:dyDescent="0.25">
      <c r="A727" s="5" t="s">
        <v>370</v>
      </c>
      <c r="B727" s="2">
        <v>75</v>
      </c>
      <c r="C727" s="6">
        <v>3</v>
      </c>
    </row>
    <row r="728" spans="1:3" x14ac:dyDescent="0.25">
      <c r="A728" s="5" t="s">
        <v>633</v>
      </c>
      <c r="B728" s="2">
        <v>75</v>
      </c>
      <c r="C728" s="6">
        <v>3</v>
      </c>
    </row>
    <row r="729" spans="1:3" x14ac:dyDescent="0.25">
      <c r="A729" s="5" t="s">
        <v>635</v>
      </c>
      <c r="B729" s="2">
        <v>75</v>
      </c>
      <c r="C729" s="6">
        <v>3</v>
      </c>
    </row>
    <row r="730" spans="1:3" x14ac:dyDescent="0.25">
      <c r="A730" s="5" t="s">
        <v>363</v>
      </c>
      <c r="B730" s="2">
        <v>75</v>
      </c>
      <c r="C730" s="6">
        <v>3</v>
      </c>
    </row>
    <row r="731" spans="1:3" x14ac:dyDescent="0.25">
      <c r="A731" s="5" t="s">
        <v>158</v>
      </c>
      <c r="B731" s="2">
        <v>75</v>
      </c>
      <c r="C731" s="6">
        <v>3</v>
      </c>
    </row>
    <row r="732" spans="1:3" x14ac:dyDescent="0.25">
      <c r="A732" s="5" t="s">
        <v>201</v>
      </c>
      <c r="B732" s="2">
        <v>75</v>
      </c>
      <c r="C732" s="6">
        <v>3</v>
      </c>
    </row>
    <row r="733" spans="1:3" x14ac:dyDescent="0.25">
      <c r="A733" s="5" t="s">
        <v>162</v>
      </c>
      <c r="B733" s="2">
        <v>75</v>
      </c>
      <c r="C733" s="6">
        <v>3</v>
      </c>
    </row>
    <row r="734" spans="1:3" x14ac:dyDescent="0.25">
      <c r="A734" s="5" t="s">
        <v>63</v>
      </c>
      <c r="B734" s="2">
        <v>75</v>
      </c>
      <c r="C734" s="6">
        <v>3</v>
      </c>
    </row>
    <row r="735" spans="1:3" x14ac:dyDescent="0.25">
      <c r="A735" s="5" t="s">
        <v>121</v>
      </c>
      <c r="B735" s="2">
        <v>75</v>
      </c>
      <c r="C735" s="6">
        <v>3</v>
      </c>
    </row>
    <row r="736" spans="1:3" x14ac:dyDescent="0.25">
      <c r="A736" s="5" t="s">
        <v>254</v>
      </c>
      <c r="B736" s="2">
        <v>75</v>
      </c>
      <c r="C736" s="6">
        <v>3</v>
      </c>
    </row>
    <row r="737" spans="1:3" x14ac:dyDescent="0.25">
      <c r="A737" s="5" t="s">
        <v>50</v>
      </c>
      <c r="B737" s="2">
        <v>75</v>
      </c>
      <c r="C737" s="6">
        <v>3</v>
      </c>
    </row>
    <row r="738" spans="1:3" x14ac:dyDescent="0.25">
      <c r="A738" s="5" t="s">
        <v>64</v>
      </c>
      <c r="B738" s="2">
        <v>75</v>
      </c>
      <c r="C738" s="6">
        <v>3</v>
      </c>
    </row>
    <row r="739" spans="1:3" x14ac:dyDescent="0.25">
      <c r="A739" s="5" t="s">
        <v>339</v>
      </c>
      <c r="B739" s="2">
        <v>75</v>
      </c>
      <c r="C739" s="6">
        <v>3</v>
      </c>
    </row>
    <row r="740" spans="1:3" x14ac:dyDescent="0.25">
      <c r="A740" s="5" t="s">
        <v>25</v>
      </c>
      <c r="B740" s="2">
        <v>75</v>
      </c>
      <c r="C740" s="6">
        <v>3</v>
      </c>
    </row>
    <row r="741" spans="1:3" x14ac:dyDescent="0.25">
      <c r="A741" s="5" t="s">
        <v>82</v>
      </c>
      <c r="B741" s="2">
        <v>75</v>
      </c>
      <c r="C741" s="6">
        <v>3</v>
      </c>
    </row>
    <row r="742" spans="1:3" x14ac:dyDescent="0.25">
      <c r="A742" s="5" t="s">
        <v>732</v>
      </c>
      <c r="B742" s="2">
        <v>60</v>
      </c>
      <c r="C742" s="6">
        <v>2</v>
      </c>
    </row>
    <row r="743" spans="1:3" x14ac:dyDescent="0.25">
      <c r="A743" s="5" t="s">
        <v>973</v>
      </c>
      <c r="B743" s="2">
        <v>60</v>
      </c>
      <c r="C743" s="6">
        <v>2</v>
      </c>
    </row>
    <row r="744" spans="1:3" x14ac:dyDescent="0.25">
      <c r="A744" s="5" t="s">
        <v>694</v>
      </c>
      <c r="B744" s="2">
        <v>60</v>
      </c>
      <c r="C744" s="6">
        <v>2</v>
      </c>
    </row>
    <row r="745" spans="1:3" x14ac:dyDescent="0.25">
      <c r="A745" s="5" t="s">
        <v>975</v>
      </c>
      <c r="B745" s="2">
        <v>60</v>
      </c>
      <c r="C745" s="6">
        <v>2</v>
      </c>
    </row>
    <row r="746" spans="1:3" x14ac:dyDescent="0.25">
      <c r="A746" s="5" t="s">
        <v>884</v>
      </c>
      <c r="B746" s="2">
        <v>60</v>
      </c>
      <c r="C746" s="6">
        <v>2</v>
      </c>
    </row>
    <row r="747" spans="1:3" x14ac:dyDescent="0.25">
      <c r="A747" s="5" t="s">
        <v>688</v>
      </c>
      <c r="B747" s="2">
        <v>60</v>
      </c>
      <c r="C747" s="6">
        <v>2</v>
      </c>
    </row>
    <row r="748" spans="1:3" x14ac:dyDescent="0.25">
      <c r="A748" s="5" t="s">
        <v>1005</v>
      </c>
      <c r="B748" s="2">
        <v>60</v>
      </c>
      <c r="C748" s="6">
        <v>2</v>
      </c>
    </row>
    <row r="749" spans="1:3" x14ac:dyDescent="0.25">
      <c r="A749" s="5" t="s">
        <v>994</v>
      </c>
      <c r="B749" s="2">
        <v>60</v>
      </c>
      <c r="C749" s="6">
        <v>2</v>
      </c>
    </row>
    <row r="750" spans="1:3" x14ac:dyDescent="0.25">
      <c r="A750" s="5" t="s">
        <v>972</v>
      </c>
      <c r="B750" s="2">
        <v>60</v>
      </c>
      <c r="C750" s="6">
        <v>2</v>
      </c>
    </row>
    <row r="751" spans="1:3" x14ac:dyDescent="0.25">
      <c r="A751" s="5" t="s">
        <v>897</v>
      </c>
      <c r="B751" s="2">
        <v>60</v>
      </c>
      <c r="C751" s="6">
        <v>2</v>
      </c>
    </row>
    <row r="752" spans="1:3" x14ac:dyDescent="0.25">
      <c r="A752" s="5" t="s">
        <v>714</v>
      </c>
      <c r="B752" s="2">
        <v>60</v>
      </c>
      <c r="C752" s="6">
        <v>2</v>
      </c>
    </row>
    <row r="753" spans="1:3" x14ac:dyDescent="0.25">
      <c r="A753" s="5" t="s">
        <v>847</v>
      </c>
      <c r="B753" s="2">
        <v>60</v>
      </c>
      <c r="C753" s="6">
        <v>2</v>
      </c>
    </row>
    <row r="754" spans="1:3" x14ac:dyDescent="0.25">
      <c r="A754" s="5" t="s">
        <v>913</v>
      </c>
      <c r="B754" s="2">
        <v>60</v>
      </c>
      <c r="C754" s="6">
        <v>2</v>
      </c>
    </row>
    <row r="755" spans="1:3" x14ac:dyDescent="0.25">
      <c r="A755" s="5" t="s">
        <v>541</v>
      </c>
      <c r="B755" s="2">
        <v>60</v>
      </c>
      <c r="C755" s="6">
        <v>2</v>
      </c>
    </row>
    <row r="756" spans="1:3" x14ac:dyDescent="0.25">
      <c r="A756" s="5" t="s">
        <v>469</v>
      </c>
      <c r="B756" s="2">
        <v>60</v>
      </c>
      <c r="C756" s="6">
        <v>2</v>
      </c>
    </row>
    <row r="757" spans="1:3" x14ac:dyDescent="0.25">
      <c r="A757" s="5" t="s">
        <v>491</v>
      </c>
      <c r="B757" s="2">
        <v>60</v>
      </c>
      <c r="C757" s="6">
        <v>2</v>
      </c>
    </row>
    <row r="758" spans="1:3" x14ac:dyDescent="0.25">
      <c r="A758" s="5" t="s">
        <v>594</v>
      </c>
      <c r="B758" s="2">
        <v>60</v>
      </c>
      <c r="C758" s="6">
        <v>2</v>
      </c>
    </row>
    <row r="759" spans="1:3" x14ac:dyDescent="0.25">
      <c r="A759" s="5" t="s">
        <v>601</v>
      </c>
      <c r="B759" s="2">
        <v>60</v>
      </c>
      <c r="C759" s="6">
        <v>2</v>
      </c>
    </row>
    <row r="760" spans="1:3" x14ac:dyDescent="0.25">
      <c r="A760" s="5" t="s">
        <v>606</v>
      </c>
      <c r="B760" s="2">
        <v>60</v>
      </c>
      <c r="C760" s="6">
        <v>2</v>
      </c>
    </row>
    <row r="761" spans="1:3" x14ac:dyDescent="0.25">
      <c r="A761" s="5" t="s">
        <v>576</v>
      </c>
      <c r="B761" s="2">
        <v>60</v>
      </c>
      <c r="C761" s="6">
        <v>2</v>
      </c>
    </row>
    <row r="762" spans="1:3" x14ac:dyDescent="0.25">
      <c r="A762" s="5" t="s">
        <v>512</v>
      </c>
      <c r="B762" s="2">
        <v>60</v>
      </c>
      <c r="C762" s="6">
        <v>2</v>
      </c>
    </row>
    <row r="763" spans="1:3" x14ac:dyDescent="0.25">
      <c r="A763" s="5" t="s">
        <v>561</v>
      </c>
      <c r="B763" s="2">
        <v>60</v>
      </c>
      <c r="C763" s="6">
        <v>2</v>
      </c>
    </row>
    <row r="764" spans="1:3" x14ac:dyDescent="0.25">
      <c r="A764" s="5" t="s">
        <v>383</v>
      </c>
      <c r="B764" s="2">
        <v>60</v>
      </c>
      <c r="C764" s="6">
        <v>2</v>
      </c>
    </row>
    <row r="765" spans="1:3" x14ac:dyDescent="0.25">
      <c r="A765" s="5" t="s">
        <v>508</v>
      </c>
      <c r="B765" s="2">
        <v>60</v>
      </c>
      <c r="C765" s="6">
        <v>2</v>
      </c>
    </row>
    <row r="766" spans="1:3" x14ac:dyDescent="0.25">
      <c r="A766" s="5" t="s">
        <v>412</v>
      </c>
      <c r="B766" s="2">
        <v>60</v>
      </c>
      <c r="C766" s="6">
        <v>2</v>
      </c>
    </row>
    <row r="767" spans="1:3" x14ac:dyDescent="0.25">
      <c r="A767" s="5" t="s">
        <v>461</v>
      </c>
      <c r="B767" s="2">
        <v>60</v>
      </c>
      <c r="C767" s="6">
        <v>2</v>
      </c>
    </row>
    <row r="768" spans="1:3" x14ac:dyDescent="0.25">
      <c r="A768" s="5" t="s">
        <v>514</v>
      </c>
      <c r="B768" s="2">
        <v>60</v>
      </c>
      <c r="C768" s="6">
        <v>2</v>
      </c>
    </row>
    <row r="769" spans="1:3" x14ac:dyDescent="0.25">
      <c r="A769" s="5" t="s">
        <v>578</v>
      </c>
      <c r="B769" s="2">
        <v>60</v>
      </c>
      <c r="C769" s="6">
        <v>2</v>
      </c>
    </row>
    <row r="770" spans="1:3" x14ac:dyDescent="0.25">
      <c r="A770" s="5" t="s">
        <v>586</v>
      </c>
      <c r="B770" s="2">
        <v>60</v>
      </c>
      <c r="C770" s="6">
        <v>2</v>
      </c>
    </row>
    <row r="771" spans="1:3" x14ac:dyDescent="0.25">
      <c r="A771" s="5" t="s">
        <v>428</v>
      </c>
      <c r="B771" s="2">
        <v>60</v>
      </c>
      <c r="C771" s="6">
        <v>2</v>
      </c>
    </row>
    <row r="772" spans="1:3" x14ac:dyDescent="0.25">
      <c r="A772" s="5" t="s">
        <v>93</v>
      </c>
      <c r="B772" s="2">
        <v>60</v>
      </c>
      <c r="C772" s="6">
        <v>2</v>
      </c>
    </row>
    <row r="773" spans="1:3" x14ac:dyDescent="0.25">
      <c r="A773" s="5" t="s">
        <v>191</v>
      </c>
      <c r="B773" s="2">
        <v>60</v>
      </c>
      <c r="C773" s="6">
        <v>2</v>
      </c>
    </row>
    <row r="774" spans="1:3" x14ac:dyDescent="0.25">
      <c r="A774" s="5" t="s">
        <v>328</v>
      </c>
      <c r="B774" s="2">
        <v>60</v>
      </c>
      <c r="C774" s="6">
        <v>2</v>
      </c>
    </row>
    <row r="775" spans="1:3" x14ac:dyDescent="0.25">
      <c r="A775" s="5" t="s">
        <v>260</v>
      </c>
      <c r="B775" s="2">
        <v>60</v>
      </c>
      <c r="C775" s="6">
        <v>2</v>
      </c>
    </row>
    <row r="776" spans="1:3" x14ac:dyDescent="0.25">
      <c r="A776" s="5" t="s">
        <v>279</v>
      </c>
      <c r="B776" s="2">
        <v>60</v>
      </c>
      <c r="C776" s="6">
        <v>2</v>
      </c>
    </row>
    <row r="777" spans="1:3" x14ac:dyDescent="0.25">
      <c r="A777" s="5" t="s">
        <v>108</v>
      </c>
      <c r="B777" s="2">
        <v>60</v>
      </c>
      <c r="C777" s="6">
        <v>2</v>
      </c>
    </row>
    <row r="778" spans="1:3" x14ac:dyDescent="0.25">
      <c r="A778" s="5" t="s">
        <v>276</v>
      </c>
      <c r="B778" s="2">
        <v>60</v>
      </c>
      <c r="C778" s="6">
        <v>2</v>
      </c>
    </row>
    <row r="779" spans="1:3" x14ac:dyDescent="0.25">
      <c r="A779" s="5" t="s">
        <v>136</v>
      </c>
      <c r="B779" s="2">
        <v>60</v>
      </c>
      <c r="C779" s="6">
        <v>2</v>
      </c>
    </row>
    <row r="780" spans="1:3" x14ac:dyDescent="0.25">
      <c r="A780" s="5" t="s">
        <v>161</v>
      </c>
      <c r="B780" s="2">
        <v>60</v>
      </c>
      <c r="C780" s="6">
        <v>2</v>
      </c>
    </row>
    <row r="781" spans="1:3" x14ac:dyDescent="0.25">
      <c r="A781" s="5" t="s">
        <v>273</v>
      </c>
      <c r="B781" s="2">
        <v>60</v>
      </c>
      <c r="C781" s="6">
        <v>2</v>
      </c>
    </row>
    <row r="782" spans="1:3" x14ac:dyDescent="0.25">
      <c r="A782" s="5" t="s">
        <v>227</v>
      </c>
      <c r="B782" s="2">
        <v>60</v>
      </c>
      <c r="C782" s="6">
        <v>2</v>
      </c>
    </row>
    <row r="783" spans="1:3" x14ac:dyDescent="0.25">
      <c r="A783" s="5" t="s">
        <v>302</v>
      </c>
      <c r="B783" s="2">
        <v>60</v>
      </c>
      <c r="C783" s="6">
        <v>2</v>
      </c>
    </row>
    <row r="784" spans="1:3" x14ac:dyDescent="0.25">
      <c r="A784" s="5" t="s">
        <v>241</v>
      </c>
      <c r="B784" s="2">
        <v>60</v>
      </c>
      <c r="C784" s="6">
        <v>2</v>
      </c>
    </row>
    <row r="785" spans="1:3" x14ac:dyDescent="0.25">
      <c r="A785" s="5" t="s">
        <v>317</v>
      </c>
      <c r="B785" s="2">
        <v>60</v>
      </c>
      <c r="C785" s="6">
        <v>2</v>
      </c>
    </row>
    <row r="786" spans="1:3" x14ac:dyDescent="0.25">
      <c r="A786" s="5" t="s">
        <v>175</v>
      </c>
      <c r="B786" s="2">
        <v>60</v>
      </c>
      <c r="C786" s="6">
        <v>2</v>
      </c>
    </row>
    <row r="787" spans="1:3" x14ac:dyDescent="0.25">
      <c r="A787" s="5" t="s">
        <v>793</v>
      </c>
      <c r="B787" s="2">
        <v>50</v>
      </c>
      <c r="C787" s="6">
        <v>2</v>
      </c>
    </row>
    <row r="788" spans="1:3" x14ac:dyDescent="0.25">
      <c r="A788" s="5" t="s">
        <v>879</v>
      </c>
      <c r="B788" s="2">
        <v>50</v>
      </c>
      <c r="C788" s="6">
        <v>1</v>
      </c>
    </row>
    <row r="789" spans="1:3" x14ac:dyDescent="0.25">
      <c r="A789" s="5" t="s">
        <v>948</v>
      </c>
      <c r="B789" s="2">
        <v>50</v>
      </c>
      <c r="C789" s="6">
        <v>1</v>
      </c>
    </row>
    <row r="790" spans="1:3" x14ac:dyDescent="0.25">
      <c r="A790" s="5" t="s">
        <v>954</v>
      </c>
      <c r="B790" s="2">
        <v>50</v>
      </c>
      <c r="C790" s="6">
        <v>2</v>
      </c>
    </row>
    <row r="791" spans="1:3" x14ac:dyDescent="0.25">
      <c r="A791" s="5" t="s">
        <v>903</v>
      </c>
      <c r="B791" s="2">
        <v>50</v>
      </c>
      <c r="C791" s="6">
        <v>2</v>
      </c>
    </row>
    <row r="792" spans="1:3" x14ac:dyDescent="0.25">
      <c r="A792" s="5" t="s">
        <v>824</v>
      </c>
      <c r="B792" s="2">
        <v>50</v>
      </c>
      <c r="C792" s="6">
        <v>2</v>
      </c>
    </row>
    <row r="793" spans="1:3" x14ac:dyDescent="0.25">
      <c r="A793" s="5" t="s">
        <v>718</v>
      </c>
      <c r="B793" s="2">
        <v>50</v>
      </c>
      <c r="C793" s="6">
        <v>2</v>
      </c>
    </row>
    <row r="794" spans="1:3" x14ac:dyDescent="0.25">
      <c r="A794" s="5" t="s">
        <v>957</v>
      </c>
      <c r="B794" s="2">
        <v>50</v>
      </c>
      <c r="C794" s="6">
        <v>2</v>
      </c>
    </row>
    <row r="795" spans="1:3" x14ac:dyDescent="0.25">
      <c r="A795" s="5" t="s">
        <v>853</v>
      </c>
      <c r="B795" s="2">
        <v>50</v>
      </c>
      <c r="C795" s="6">
        <v>2</v>
      </c>
    </row>
    <row r="796" spans="1:3" x14ac:dyDescent="0.25">
      <c r="A796" s="5" t="s">
        <v>775</v>
      </c>
      <c r="B796" s="2">
        <v>50</v>
      </c>
      <c r="C796" s="6">
        <v>2</v>
      </c>
    </row>
    <row r="797" spans="1:3" x14ac:dyDescent="0.25">
      <c r="A797" s="5" t="s">
        <v>986</v>
      </c>
      <c r="B797" s="2">
        <v>50</v>
      </c>
      <c r="C797" s="6">
        <v>1</v>
      </c>
    </row>
    <row r="798" spans="1:3" x14ac:dyDescent="0.25">
      <c r="A798" s="5" t="s">
        <v>784</v>
      </c>
      <c r="B798" s="2">
        <v>50</v>
      </c>
      <c r="C798" s="6">
        <v>2</v>
      </c>
    </row>
    <row r="799" spans="1:3" x14ac:dyDescent="0.25">
      <c r="A799" s="5" t="s">
        <v>905</v>
      </c>
      <c r="B799" s="2">
        <v>50</v>
      </c>
      <c r="C799" s="6">
        <v>1</v>
      </c>
    </row>
    <row r="800" spans="1:3" x14ac:dyDescent="0.25">
      <c r="A800" s="5" t="s">
        <v>962</v>
      </c>
      <c r="B800" s="2">
        <v>50</v>
      </c>
      <c r="C800" s="6">
        <v>2</v>
      </c>
    </row>
    <row r="801" spans="1:3" x14ac:dyDescent="0.25">
      <c r="A801" s="5" t="s">
        <v>998</v>
      </c>
      <c r="B801" s="2">
        <v>50</v>
      </c>
      <c r="C801" s="6">
        <v>2</v>
      </c>
    </row>
    <row r="802" spans="1:3" x14ac:dyDescent="0.25">
      <c r="A802" s="5" t="s">
        <v>919</v>
      </c>
      <c r="B802" s="2">
        <v>50</v>
      </c>
      <c r="C802" s="6">
        <v>1</v>
      </c>
    </row>
    <row r="803" spans="1:3" x14ac:dyDescent="0.25">
      <c r="A803" s="5" t="s">
        <v>849</v>
      </c>
      <c r="B803" s="2">
        <v>50</v>
      </c>
      <c r="C803" s="6">
        <v>1</v>
      </c>
    </row>
    <row r="804" spans="1:3" x14ac:dyDescent="0.25">
      <c r="A804" s="5" t="s">
        <v>862</v>
      </c>
      <c r="B804" s="2">
        <v>50</v>
      </c>
      <c r="C804" s="6">
        <v>2</v>
      </c>
    </row>
    <row r="805" spans="1:3" x14ac:dyDescent="0.25">
      <c r="A805" s="5" t="s">
        <v>1009</v>
      </c>
      <c r="B805" s="2">
        <v>50</v>
      </c>
      <c r="C805" s="6">
        <v>1</v>
      </c>
    </row>
    <row r="806" spans="1:3" x14ac:dyDescent="0.25">
      <c r="A806" s="5" t="s">
        <v>805</v>
      </c>
      <c r="B806" s="2">
        <v>50</v>
      </c>
      <c r="C806" s="6">
        <v>1</v>
      </c>
    </row>
    <row r="807" spans="1:3" x14ac:dyDescent="0.25">
      <c r="A807" s="5" t="s">
        <v>932</v>
      </c>
      <c r="B807" s="2">
        <v>50</v>
      </c>
      <c r="C807" s="6">
        <v>2</v>
      </c>
    </row>
    <row r="808" spans="1:3" x14ac:dyDescent="0.25">
      <c r="A808" s="5" t="s">
        <v>776</v>
      </c>
      <c r="B808" s="2">
        <v>50</v>
      </c>
      <c r="C808" s="6">
        <v>2</v>
      </c>
    </row>
    <row r="809" spans="1:3" x14ac:dyDescent="0.25">
      <c r="A809" s="5" t="s">
        <v>902</v>
      </c>
      <c r="B809" s="2">
        <v>50</v>
      </c>
      <c r="C809" s="6">
        <v>1</v>
      </c>
    </row>
    <row r="810" spans="1:3" x14ac:dyDescent="0.25">
      <c r="A810" s="5" t="s">
        <v>971</v>
      </c>
      <c r="B810" s="2">
        <v>50</v>
      </c>
      <c r="C810" s="6">
        <v>2</v>
      </c>
    </row>
    <row r="811" spans="1:3" x14ac:dyDescent="0.25">
      <c r="A811" s="5" t="s">
        <v>935</v>
      </c>
      <c r="B811" s="2">
        <v>50</v>
      </c>
      <c r="C811" s="6">
        <v>1</v>
      </c>
    </row>
    <row r="812" spans="1:3" x14ac:dyDescent="0.25">
      <c r="A812" s="5" t="s">
        <v>787</v>
      </c>
      <c r="B812" s="2">
        <v>50</v>
      </c>
      <c r="C812" s="6">
        <v>2</v>
      </c>
    </row>
    <row r="813" spans="1:3" x14ac:dyDescent="0.25">
      <c r="A813" s="5" t="s">
        <v>750</v>
      </c>
      <c r="B813" s="2">
        <v>50</v>
      </c>
      <c r="C813" s="6">
        <v>1</v>
      </c>
    </row>
    <row r="814" spans="1:3" x14ac:dyDescent="0.25">
      <c r="A814" s="5" t="s">
        <v>895</v>
      </c>
      <c r="B814" s="2">
        <v>50</v>
      </c>
      <c r="C814" s="6">
        <v>2</v>
      </c>
    </row>
    <row r="815" spans="1:3" x14ac:dyDescent="0.25">
      <c r="A815" s="5" t="s">
        <v>906</v>
      </c>
      <c r="B815" s="2">
        <v>50</v>
      </c>
      <c r="C815" s="6">
        <v>1</v>
      </c>
    </row>
    <row r="816" spans="1:3" x14ac:dyDescent="0.25">
      <c r="A816" s="5" t="s">
        <v>764</v>
      </c>
      <c r="B816" s="2">
        <v>50</v>
      </c>
      <c r="C816" s="6">
        <v>2</v>
      </c>
    </row>
    <row r="817" spans="1:3" x14ac:dyDescent="0.25">
      <c r="A817" s="5" t="s">
        <v>743</v>
      </c>
      <c r="B817" s="2">
        <v>50</v>
      </c>
      <c r="C817" s="6">
        <v>2</v>
      </c>
    </row>
    <row r="818" spans="1:3" x14ac:dyDescent="0.25">
      <c r="A818" s="5" t="s">
        <v>876</v>
      </c>
      <c r="B818" s="2">
        <v>50</v>
      </c>
      <c r="C818" s="6">
        <v>2</v>
      </c>
    </row>
    <row r="819" spans="1:3" x14ac:dyDescent="0.25">
      <c r="A819" s="5" t="s">
        <v>867</v>
      </c>
      <c r="B819" s="2">
        <v>50</v>
      </c>
      <c r="C819" s="6">
        <v>1</v>
      </c>
    </row>
    <row r="820" spans="1:3" x14ac:dyDescent="0.25">
      <c r="A820" s="5" t="s">
        <v>976</v>
      </c>
      <c r="B820" s="2">
        <v>50</v>
      </c>
      <c r="C820" s="6">
        <v>1</v>
      </c>
    </row>
    <row r="821" spans="1:3" x14ac:dyDescent="0.25">
      <c r="A821" s="5" t="s">
        <v>909</v>
      </c>
      <c r="B821" s="2">
        <v>50</v>
      </c>
      <c r="C821" s="6">
        <v>2</v>
      </c>
    </row>
    <row r="822" spans="1:3" x14ac:dyDescent="0.25">
      <c r="A822" s="5" t="s">
        <v>725</v>
      </c>
      <c r="B822" s="2">
        <v>50</v>
      </c>
      <c r="C822" s="6">
        <v>2</v>
      </c>
    </row>
    <row r="823" spans="1:3" x14ac:dyDescent="0.25">
      <c r="A823" s="5" t="s">
        <v>870</v>
      </c>
      <c r="B823" s="2">
        <v>50</v>
      </c>
      <c r="C823" s="6">
        <v>2</v>
      </c>
    </row>
    <row r="824" spans="1:3" x14ac:dyDescent="0.25">
      <c r="A824" s="5" t="s">
        <v>929</v>
      </c>
      <c r="B824" s="2">
        <v>50</v>
      </c>
      <c r="C824" s="6">
        <v>1</v>
      </c>
    </row>
    <row r="825" spans="1:3" x14ac:dyDescent="0.25">
      <c r="A825" s="5" t="s">
        <v>859</v>
      </c>
      <c r="B825" s="2">
        <v>50</v>
      </c>
      <c r="C825" s="6">
        <v>1</v>
      </c>
    </row>
    <row r="826" spans="1:3" x14ac:dyDescent="0.25">
      <c r="A826" s="5" t="s">
        <v>707</v>
      </c>
      <c r="B826" s="2">
        <v>50</v>
      </c>
      <c r="C826" s="6">
        <v>2</v>
      </c>
    </row>
    <row r="827" spans="1:3" x14ac:dyDescent="0.25">
      <c r="A827" s="5" t="s">
        <v>698</v>
      </c>
      <c r="B827" s="2">
        <v>50</v>
      </c>
      <c r="C827" s="6">
        <v>2</v>
      </c>
    </row>
    <row r="828" spans="1:3" x14ac:dyDescent="0.25">
      <c r="A828" s="5" t="s">
        <v>811</v>
      </c>
      <c r="B828" s="2">
        <v>50</v>
      </c>
      <c r="C828" s="6">
        <v>1</v>
      </c>
    </row>
    <row r="829" spans="1:3" x14ac:dyDescent="0.25">
      <c r="A829" s="5" t="s">
        <v>915</v>
      </c>
      <c r="B829" s="2">
        <v>50</v>
      </c>
      <c r="C829" s="6">
        <v>1</v>
      </c>
    </row>
    <row r="830" spans="1:3" x14ac:dyDescent="0.25">
      <c r="A830" s="5" t="s">
        <v>864</v>
      </c>
      <c r="B830" s="2">
        <v>50</v>
      </c>
      <c r="C830" s="6">
        <v>2</v>
      </c>
    </row>
    <row r="831" spans="1:3" x14ac:dyDescent="0.25">
      <c r="A831" s="5" t="s">
        <v>783</v>
      </c>
      <c r="B831" s="2">
        <v>50</v>
      </c>
      <c r="C831" s="6">
        <v>1</v>
      </c>
    </row>
    <row r="832" spans="1:3" x14ac:dyDescent="0.25">
      <c r="A832" s="5" t="s">
        <v>506</v>
      </c>
      <c r="B832" s="2">
        <v>50</v>
      </c>
      <c r="C832" s="6">
        <v>2</v>
      </c>
    </row>
    <row r="833" spans="1:3" x14ac:dyDescent="0.25">
      <c r="A833" s="5" t="s">
        <v>631</v>
      </c>
      <c r="B833" s="2">
        <v>50</v>
      </c>
      <c r="C833" s="6">
        <v>1</v>
      </c>
    </row>
    <row r="834" spans="1:3" x14ac:dyDescent="0.25">
      <c r="A834" s="5" t="s">
        <v>573</v>
      </c>
      <c r="B834" s="2">
        <v>50</v>
      </c>
      <c r="C834" s="6">
        <v>1</v>
      </c>
    </row>
    <row r="835" spans="1:3" x14ac:dyDescent="0.25">
      <c r="A835" s="5" t="s">
        <v>447</v>
      </c>
      <c r="B835" s="2">
        <v>50</v>
      </c>
      <c r="C835" s="6">
        <v>2</v>
      </c>
    </row>
    <row r="836" spans="1:3" x14ac:dyDescent="0.25">
      <c r="A836" s="5" t="s">
        <v>518</v>
      </c>
      <c r="B836" s="2">
        <v>50</v>
      </c>
      <c r="C836" s="6">
        <v>1</v>
      </c>
    </row>
    <row r="837" spans="1:3" x14ac:dyDescent="0.25">
      <c r="A837" s="5" t="s">
        <v>380</v>
      </c>
      <c r="B837" s="2">
        <v>50</v>
      </c>
      <c r="C837" s="6">
        <v>1</v>
      </c>
    </row>
    <row r="838" spans="1:3" x14ac:dyDescent="0.25">
      <c r="A838" s="5" t="s">
        <v>352</v>
      </c>
      <c r="B838" s="2">
        <v>50</v>
      </c>
      <c r="C838" s="6">
        <v>2</v>
      </c>
    </row>
    <row r="839" spans="1:3" x14ac:dyDescent="0.25">
      <c r="A839" s="5" t="s">
        <v>404</v>
      </c>
      <c r="B839" s="2">
        <v>50</v>
      </c>
      <c r="C839" s="6">
        <v>2</v>
      </c>
    </row>
    <row r="840" spans="1:3" x14ac:dyDescent="0.25">
      <c r="A840" s="5" t="s">
        <v>587</v>
      </c>
      <c r="B840" s="2">
        <v>50</v>
      </c>
      <c r="C840" s="6">
        <v>2</v>
      </c>
    </row>
    <row r="841" spans="1:3" x14ac:dyDescent="0.25">
      <c r="A841" s="5" t="s">
        <v>640</v>
      </c>
      <c r="B841" s="2">
        <v>50</v>
      </c>
      <c r="C841" s="6">
        <v>1</v>
      </c>
    </row>
    <row r="842" spans="1:3" x14ac:dyDescent="0.25">
      <c r="A842" s="5" t="s">
        <v>362</v>
      </c>
      <c r="B842" s="2">
        <v>50</v>
      </c>
      <c r="C842" s="6">
        <v>1</v>
      </c>
    </row>
    <row r="843" spans="1:3" x14ac:dyDescent="0.25">
      <c r="A843" s="5" t="s">
        <v>372</v>
      </c>
      <c r="B843" s="2">
        <v>50</v>
      </c>
      <c r="C843" s="6">
        <v>1</v>
      </c>
    </row>
    <row r="844" spans="1:3" x14ac:dyDescent="0.25">
      <c r="A844" s="5" t="s">
        <v>569</v>
      </c>
      <c r="B844" s="2">
        <v>50</v>
      </c>
      <c r="C844" s="6">
        <v>1</v>
      </c>
    </row>
    <row r="845" spans="1:3" x14ac:dyDescent="0.25">
      <c r="A845" s="5" t="s">
        <v>642</v>
      </c>
      <c r="B845" s="2">
        <v>50</v>
      </c>
      <c r="C845" s="6">
        <v>2</v>
      </c>
    </row>
    <row r="846" spans="1:3" x14ac:dyDescent="0.25">
      <c r="A846" s="5" t="s">
        <v>599</v>
      </c>
      <c r="B846" s="2">
        <v>50</v>
      </c>
      <c r="C846" s="6">
        <v>1</v>
      </c>
    </row>
    <row r="847" spans="1:3" x14ac:dyDescent="0.25">
      <c r="A847" s="5" t="s">
        <v>463</v>
      </c>
      <c r="B847" s="2">
        <v>50</v>
      </c>
      <c r="C847" s="6">
        <v>2</v>
      </c>
    </row>
    <row r="848" spans="1:3" x14ac:dyDescent="0.25">
      <c r="A848" s="5" t="s">
        <v>558</v>
      </c>
      <c r="B848" s="2">
        <v>50</v>
      </c>
      <c r="C848" s="6">
        <v>2</v>
      </c>
    </row>
    <row r="849" spans="1:3" x14ac:dyDescent="0.25">
      <c r="A849" s="5" t="s">
        <v>575</v>
      </c>
      <c r="B849" s="2">
        <v>50</v>
      </c>
      <c r="C849" s="6">
        <v>2</v>
      </c>
    </row>
    <row r="850" spans="1:3" x14ac:dyDescent="0.25">
      <c r="A850" s="5" t="s">
        <v>442</v>
      </c>
      <c r="B850" s="2">
        <v>50</v>
      </c>
      <c r="C850" s="6">
        <v>2</v>
      </c>
    </row>
    <row r="851" spans="1:3" x14ac:dyDescent="0.25">
      <c r="A851" s="5" t="s">
        <v>388</v>
      </c>
      <c r="B851" s="2">
        <v>50</v>
      </c>
      <c r="C851" s="6">
        <v>1</v>
      </c>
    </row>
    <row r="852" spans="1:3" x14ac:dyDescent="0.25">
      <c r="A852" s="5" t="s">
        <v>402</v>
      </c>
      <c r="B852" s="2">
        <v>50</v>
      </c>
      <c r="C852" s="6">
        <v>2</v>
      </c>
    </row>
    <row r="853" spans="1:3" x14ac:dyDescent="0.25">
      <c r="A853" s="5" t="s">
        <v>356</v>
      </c>
      <c r="B853" s="2">
        <v>50</v>
      </c>
      <c r="C853" s="6">
        <v>2</v>
      </c>
    </row>
    <row r="854" spans="1:3" x14ac:dyDescent="0.25">
      <c r="A854" s="5" t="s">
        <v>538</v>
      </c>
      <c r="B854" s="2">
        <v>50</v>
      </c>
      <c r="C854" s="6">
        <v>2</v>
      </c>
    </row>
    <row r="855" spans="1:3" x14ac:dyDescent="0.25">
      <c r="A855" s="5" t="s">
        <v>486</v>
      </c>
      <c r="B855" s="2">
        <v>50</v>
      </c>
      <c r="C855" s="6">
        <v>1</v>
      </c>
    </row>
    <row r="856" spans="1:3" x14ac:dyDescent="0.25">
      <c r="A856" s="5" t="s">
        <v>459</v>
      </c>
      <c r="B856" s="2">
        <v>50</v>
      </c>
      <c r="C856" s="6">
        <v>1</v>
      </c>
    </row>
    <row r="857" spans="1:3" x14ac:dyDescent="0.25">
      <c r="A857" s="5" t="s">
        <v>584</v>
      </c>
      <c r="B857" s="2">
        <v>50</v>
      </c>
      <c r="C857" s="6">
        <v>1</v>
      </c>
    </row>
    <row r="858" spans="1:3" x14ac:dyDescent="0.25">
      <c r="A858" s="5" t="s">
        <v>678</v>
      </c>
      <c r="B858" s="2">
        <v>50</v>
      </c>
      <c r="C858" s="6">
        <v>1</v>
      </c>
    </row>
    <row r="859" spans="1:3" x14ac:dyDescent="0.25">
      <c r="A859" s="5" t="s">
        <v>619</v>
      </c>
      <c r="B859" s="2">
        <v>50</v>
      </c>
      <c r="C859" s="6">
        <v>1</v>
      </c>
    </row>
    <row r="860" spans="1:3" x14ac:dyDescent="0.25">
      <c r="A860" s="5" t="s">
        <v>540</v>
      </c>
      <c r="B860" s="2">
        <v>50</v>
      </c>
      <c r="C860" s="6">
        <v>2</v>
      </c>
    </row>
    <row r="861" spans="1:3" x14ac:dyDescent="0.25">
      <c r="A861" s="5" t="s">
        <v>555</v>
      </c>
      <c r="B861" s="2">
        <v>50</v>
      </c>
      <c r="C861" s="6">
        <v>1</v>
      </c>
    </row>
    <row r="862" spans="1:3" x14ac:dyDescent="0.25">
      <c r="A862" s="5" t="s">
        <v>473</v>
      </c>
      <c r="B862" s="2">
        <v>50</v>
      </c>
      <c r="C862" s="6">
        <v>1</v>
      </c>
    </row>
    <row r="863" spans="1:3" x14ac:dyDescent="0.25">
      <c r="A863" s="5" t="s">
        <v>140</v>
      </c>
      <c r="B863" s="2">
        <v>50</v>
      </c>
      <c r="C863" s="6">
        <v>2</v>
      </c>
    </row>
    <row r="864" spans="1:3" x14ac:dyDescent="0.25">
      <c r="A864" s="5" t="s">
        <v>94</v>
      </c>
      <c r="B864" s="2">
        <v>50</v>
      </c>
      <c r="C864" s="6">
        <v>1</v>
      </c>
    </row>
    <row r="865" spans="1:3" x14ac:dyDescent="0.25">
      <c r="A865" s="5" t="s">
        <v>319</v>
      </c>
      <c r="B865" s="2">
        <v>50</v>
      </c>
      <c r="C865" s="6">
        <v>1</v>
      </c>
    </row>
    <row r="866" spans="1:3" x14ac:dyDescent="0.25">
      <c r="A866" s="5" t="s">
        <v>286</v>
      </c>
      <c r="B866" s="2">
        <v>50</v>
      </c>
      <c r="C866" s="6">
        <v>1</v>
      </c>
    </row>
    <row r="867" spans="1:3" x14ac:dyDescent="0.25">
      <c r="A867" s="5" t="s">
        <v>183</v>
      </c>
      <c r="B867" s="2">
        <v>50</v>
      </c>
      <c r="C867" s="6">
        <v>2</v>
      </c>
    </row>
    <row r="868" spans="1:3" x14ac:dyDescent="0.25">
      <c r="A868" s="5" t="s">
        <v>271</v>
      </c>
      <c r="B868" s="2">
        <v>50</v>
      </c>
      <c r="C868" s="6">
        <v>1</v>
      </c>
    </row>
    <row r="869" spans="1:3" x14ac:dyDescent="0.25">
      <c r="A869" s="5" t="s">
        <v>20</v>
      </c>
      <c r="B869" s="2">
        <v>50</v>
      </c>
      <c r="C869" s="6">
        <v>2</v>
      </c>
    </row>
    <row r="870" spans="1:3" x14ac:dyDescent="0.25">
      <c r="A870" s="5" t="s">
        <v>38</v>
      </c>
      <c r="B870" s="2">
        <v>50</v>
      </c>
      <c r="C870" s="6">
        <v>1</v>
      </c>
    </row>
    <row r="871" spans="1:3" x14ac:dyDescent="0.25">
      <c r="A871" s="5" t="s">
        <v>220</v>
      </c>
      <c r="B871" s="2">
        <v>50</v>
      </c>
      <c r="C871" s="6">
        <v>2</v>
      </c>
    </row>
    <row r="872" spans="1:3" x14ac:dyDescent="0.25">
      <c r="A872" s="5" t="s">
        <v>40</v>
      </c>
      <c r="B872" s="2">
        <v>50</v>
      </c>
      <c r="C872" s="6">
        <v>2</v>
      </c>
    </row>
    <row r="873" spans="1:3" x14ac:dyDescent="0.25">
      <c r="A873" s="5" t="s">
        <v>329</v>
      </c>
      <c r="B873" s="2">
        <v>50</v>
      </c>
      <c r="C873" s="6">
        <v>2</v>
      </c>
    </row>
    <row r="874" spans="1:3" x14ac:dyDescent="0.25">
      <c r="A874" s="5" t="s">
        <v>76</v>
      </c>
      <c r="B874" s="2">
        <v>50</v>
      </c>
      <c r="C874" s="6">
        <v>2</v>
      </c>
    </row>
    <row r="875" spans="1:3" x14ac:dyDescent="0.25">
      <c r="A875" s="5" t="s">
        <v>334</v>
      </c>
      <c r="B875" s="2">
        <v>50</v>
      </c>
      <c r="C875" s="6">
        <v>2</v>
      </c>
    </row>
    <row r="876" spans="1:3" x14ac:dyDescent="0.25">
      <c r="A876" s="5" t="s">
        <v>32</v>
      </c>
      <c r="B876" s="2">
        <v>50</v>
      </c>
      <c r="C876" s="6">
        <v>2</v>
      </c>
    </row>
    <row r="877" spans="1:3" x14ac:dyDescent="0.25">
      <c r="A877" s="5" t="s">
        <v>338</v>
      </c>
      <c r="B877" s="2">
        <v>50</v>
      </c>
      <c r="C877" s="6">
        <v>2</v>
      </c>
    </row>
    <row r="878" spans="1:3" x14ac:dyDescent="0.25">
      <c r="A878" s="5" t="s">
        <v>202</v>
      </c>
      <c r="B878" s="2">
        <v>50</v>
      </c>
      <c r="C878" s="6">
        <v>1</v>
      </c>
    </row>
    <row r="879" spans="1:3" x14ac:dyDescent="0.25">
      <c r="A879" s="5" t="s">
        <v>259</v>
      </c>
      <c r="B879" s="2">
        <v>50</v>
      </c>
      <c r="C879" s="6">
        <v>2</v>
      </c>
    </row>
    <row r="880" spans="1:3" x14ac:dyDescent="0.25">
      <c r="A880" s="5" t="s">
        <v>31</v>
      </c>
      <c r="B880" s="2">
        <v>50</v>
      </c>
      <c r="C880" s="6">
        <v>2</v>
      </c>
    </row>
    <row r="881" spans="1:3" x14ac:dyDescent="0.25">
      <c r="A881" s="5" t="s">
        <v>320</v>
      </c>
      <c r="B881" s="2">
        <v>50</v>
      </c>
      <c r="C881" s="6">
        <v>2</v>
      </c>
    </row>
    <row r="882" spans="1:3" x14ac:dyDescent="0.25">
      <c r="A882" s="5" t="s">
        <v>148</v>
      </c>
      <c r="B882" s="2">
        <v>50</v>
      </c>
      <c r="C882" s="6">
        <v>2</v>
      </c>
    </row>
    <row r="883" spans="1:3" x14ac:dyDescent="0.25">
      <c r="A883" s="5" t="s">
        <v>262</v>
      </c>
      <c r="B883" s="2">
        <v>50</v>
      </c>
      <c r="C883" s="6">
        <v>1</v>
      </c>
    </row>
    <row r="884" spans="1:3" x14ac:dyDescent="0.25">
      <c r="A884" s="5" t="s">
        <v>239</v>
      </c>
      <c r="B884" s="2">
        <v>50</v>
      </c>
      <c r="C884" s="6">
        <v>1</v>
      </c>
    </row>
    <row r="885" spans="1:3" x14ac:dyDescent="0.25">
      <c r="A885" s="5" t="s">
        <v>263</v>
      </c>
      <c r="B885" s="2">
        <v>50</v>
      </c>
      <c r="C885" s="6">
        <v>1</v>
      </c>
    </row>
    <row r="886" spans="1:3" x14ac:dyDescent="0.25">
      <c r="A886" s="5" t="s">
        <v>299</v>
      </c>
      <c r="B886" s="2">
        <v>50</v>
      </c>
      <c r="C886" s="6">
        <v>2</v>
      </c>
    </row>
    <row r="887" spans="1:3" x14ac:dyDescent="0.25">
      <c r="A887" s="5" t="s">
        <v>247</v>
      </c>
      <c r="B887" s="2">
        <v>50</v>
      </c>
      <c r="C887" s="6">
        <v>2</v>
      </c>
    </row>
    <row r="888" spans="1:3" x14ac:dyDescent="0.25">
      <c r="A888" s="5" t="s">
        <v>274</v>
      </c>
      <c r="B888" s="2">
        <v>50</v>
      </c>
      <c r="C888" s="6">
        <v>2</v>
      </c>
    </row>
    <row r="889" spans="1:3" x14ac:dyDescent="0.25">
      <c r="A889" s="5" t="s">
        <v>185</v>
      </c>
      <c r="B889" s="2">
        <v>50</v>
      </c>
      <c r="C889" s="6">
        <v>2</v>
      </c>
    </row>
    <row r="890" spans="1:3" x14ac:dyDescent="0.25">
      <c r="A890" s="5" t="s">
        <v>53</v>
      </c>
      <c r="B890" s="2">
        <v>50</v>
      </c>
      <c r="C890" s="6">
        <v>1</v>
      </c>
    </row>
    <row r="891" spans="1:3" x14ac:dyDescent="0.25">
      <c r="A891" s="5" t="s">
        <v>72</v>
      </c>
      <c r="B891" s="2">
        <v>50</v>
      </c>
      <c r="C891" s="6">
        <v>1</v>
      </c>
    </row>
    <row r="892" spans="1:3" x14ac:dyDescent="0.25">
      <c r="A892" s="5" t="s">
        <v>154</v>
      </c>
      <c r="B892" s="2">
        <v>50</v>
      </c>
      <c r="C892" s="6">
        <v>1</v>
      </c>
    </row>
    <row r="893" spans="1:3" x14ac:dyDescent="0.25">
      <c r="A893" s="5" t="s">
        <v>164</v>
      </c>
      <c r="B893" s="2">
        <v>50</v>
      </c>
      <c r="C893" s="6">
        <v>1</v>
      </c>
    </row>
    <row r="894" spans="1:3" x14ac:dyDescent="0.25">
      <c r="A894" s="5" t="s">
        <v>156</v>
      </c>
      <c r="B894" s="2">
        <v>50</v>
      </c>
      <c r="C894" s="6">
        <v>1</v>
      </c>
    </row>
    <row r="895" spans="1:3" x14ac:dyDescent="0.25">
      <c r="A895" s="5" t="s">
        <v>54</v>
      </c>
      <c r="B895" s="2">
        <v>50</v>
      </c>
      <c r="C895" s="6">
        <v>2</v>
      </c>
    </row>
    <row r="896" spans="1:3" x14ac:dyDescent="0.25">
      <c r="A896" s="5" t="s">
        <v>115</v>
      </c>
      <c r="B896" s="2">
        <v>50</v>
      </c>
      <c r="C896" s="6">
        <v>2</v>
      </c>
    </row>
    <row r="897" spans="1:3" x14ac:dyDescent="0.25">
      <c r="A897" s="5" t="s">
        <v>119</v>
      </c>
      <c r="B897" s="2">
        <v>50</v>
      </c>
      <c r="C897" s="6">
        <v>1</v>
      </c>
    </row>
    <row r="898" spans="1:3" x14ac:dyDescent="0.25">
      <c r="A898" s="5" t="s">
        <v>126</v>
      </c>
      <c r="B898" s="2">
        <v>50</v>
      </c>
      <c r="C898" s="6">
        <v>2</v>
      </c>
    </row>
    <row r="899" spans="1:3" x14ac:dyDescent="0.25">
      <c r="A899" s="5" t="s">
        <v>133</v>
      </c>
      <c r="B899" s="2">
        <v>50</v>
      </c>
      <c r="C899" s="6">
        <v>1</v>
      </c>
    </row>
    <row r="900" spans="1:3" x14ac:dyDescent="0.25">
      <c r="A900" s="5" t="s">
        <v>147</v>
      </c>
      <c r="B900" s="2">
        <v>50</v>
      </c>
      <c r="C900" s="6">
        <v>1</v>
      </c>
    </row>
    <row r="901" spans="1:3" x14ac:dyDescent="0.25">
      <c r="A901" s="5" t="s">
        <v>237</v>
      </c>
      <c r="B901" s="2">
        <v>50</v>
      </c>
      <c r="C901" s="6">
        <v>1</v>
      </c>
    </row>
    <row r="902" spans="1:3" x14ac:dyDescent="0.25">
      <c r="A902" s="5" t="s">
        <v>766</v>
      </c>
      <c r="B902" s="2">
        <v>30</v>
      </c>
      <c r="C902" s="6">
        <v>1</v>
      </c>
    </row>
    <row r="903" spans="1:3" x14ac:dyDescent="0.25">
      <c r="A903" s="5" t="s">
        <v>892</v>
      </c>
      <c r="B903" s="2">
        <v>30</v>
      </c>
      <c r="C903" s="6">
        <v>1</v>
      </c>
    </row>
    <row r="904" spans="1:3" x14ac:dyDescent="0.25">
      <c r="A904" s="5" t="s">
        <v>683</v>
      </c>
      <c r="B904" s="2">
        <v>30</v>
      </c>
      <c r="C904" s="6">
        <v>1</v>
      </c>
    </row>
    <row r="905" spans="1:3" x14ac:dyDescent="0.25">
      <c r="A905" s="5" t="s">
        <v>914</v>
      </c>
      <c r="B905" s="2">
        <v>30</v>
      </c>
      <c r="C905" s="6">
        <v>1</v>
      </c>
    </row>
    <row r="906" spans="1:3" x14ac:dyDescent="0.25">
      <c r="A906" s="5" t="s">
        <v>806</v>
      </c>
      <c r="B906" s="2">
        <v>30</v>
      </c>
      <c r="C906" s="6">
        <v>1</v>
      </c>
    </row>
    <row r="907" spans="1:3" x14ac:dyDescent="0.25">
      <c r="A907" s="5" t="s">
        <v>887</v>
      </c>
      <c r="B907" s="2">
        <v>30</v>
      </c>
      <c r="C907" s="6">
        <v>1</v>
      </c>
    </row>
    <row r="908" spans="1:3" x14ac:dyDescent="0.25">
      <c r="A908" s="5" t="s">
        <v>747</v>
      </c>
      <c r="B908" s="2">
        <v>30</v>
      </c>
      <c r="C908" s="6">
        <v>1</v>
      </c>
    </row>
    <row r="909" spans="1:3" x14ac:dyDescent="0.25">
      <c r="A909" s="5" t="s">
        <v>953</v>
      </c>
      <c r="B909" s="2">
        <v>30</v>
      </c>
      <c r="C909" s="6">
        <v>1</v>
      </c>
    </row>
    <row r="910" spans="1:3" x14ac:dyDescent="0.25">
      <c r="A910" s="5" t="s">
        <v>939</v>
      </c>
      <c r="B910" s="2">
        <v>30</v>
      </c>
      <c r="C910" s="6">
        <v>1</v>
      </c>
    </row>
    <row r="911" spans="1:3" x14ac:dyDescent="0.25">
      <c r="A911" s="5" t="s">
        <v>762</v>
      </c>
      <c r="B911" s="2">
        <v>30</v>
      </c>
      <c r="C911" s="6">
        <v>1</v>
      </c>
    </row>
    <row r="912" spans="1:3" x14ac:dyDescent="0.25">
      <c r="A912" s="5" t="s">
        <v>746</v>
      </c>
      <c r="B912" s="2">
        <v>30</v>
      </c>
      <c r="C912" s="6">
        <v>1</v>
      </c>
    </row>
    <row r="913" spans="1:3" x14ac:dyDescent="0.25">
      <c r="A913" s="5" t="s">
        <v>987</v>
      </c>
      <c r="B913" s="2">
        <v>30</v>
      </c>
      <c r="C913" s="6">
        <v>1</v>
      </c>
    </row>
    <row r="914" spans="1:3" x14ac:dyDescent="0.25">
      <c r="A914" s="5" t="s">
        <v>907</v>
      </c>
      <c r="B914" s="2">
        <v>30</v>
      </c>
      <c r="C914" s="6">
        <v>1</v>
      </c>
    </row>
    <row r="915" spans="1:3" x14ac:dyDescent="0.25">
      <c r="A915" s="5" t="s">
        <v>815</v>
      </c>
      <c r="B915" s="2">
        <v>30</v>
      </c>
      <c r="C915" s="6">
        <v>1</v>
      </c>
    </row>
    <row r="916" spans="1:3" x14ac:dyDescent="0.25">
      <c r="A916" s="5" t="s">
        <v>1008</v>
      </c>
      <c r="B916" s="2">
        <v>30</v>
      </c>
      <c r="C916" s="6">
        <v>1</v>
      </c>
    </row>
    <row r="917" spans="1:3" x14ac:dyDescent="0.25">
      <c r="A917" s="5" t="s">
        <v>891</v>
      </c>
      <c r="B917" s="2">
        <v>30</v>
      </c>
      <c r="C917" s="6">
        <v>1</v>
      </c>
    </row>
    <row r="918" spans="1:3" x14ac:dyDescent="0.25">
      <c r="A918" s="5" t="s">
        <v>946</v>
      </c>
      <c r="B918" s="2">
        <v>30</v>
      </c>
      <c r="C918" s="6">
        <v>1</v>
      </c>
    </row>
    <row r="919" spans="1:3" x14ac:dyDescent="0.25">
      <c r="A919" s="5" t="s">
        <v>760</v>
      </c>
      <c r="B919" s="2">
        <v>30</v>
      </c>
      <c r="C919" s="6">
        <v>1</v>
      </c>
    </row>
    <row r="920" spans="1:3" x14ac:dyDescent="0.25">
      <c r="A920" s="5" t="s">
        <v>817</v>
      </c>
      <c r="B920" s="2">
        <v>30</v>
      </c>
      <c r="C920" s="6">
        <v>1</v>
      </c>
    </row>
    <row r="921" spans="1:3" x14ac:dyDescent="0.25">
      <c r="A921" s="5" t="s">
        <v>785</v>
      </c>
      <c r="B921" s="2">
        <v>30</v>
      </c>
      <c r="C921" s="6">
        <v>1</v>
      </c>
    </row>
    <row r="922" spans="1:3" x14ac:dyDescent="0.25">
      <c r="A922" s="5" t="s">
        <v>531</v>
      </c>
      <c r="B922" s="2">
        <v>30</v>
      </c>
      <c r="C922" s="6">
        <v>1</v>
      </c>
    </row>
    <row r="923" spans="1:3" x14ac:dyDescent="0.25">
      <c r="A923" s="5" t="s">
        <v>502</v>
      </c>
      <c r="B923" s="2">
        <v>30</v>
      </c>
      <c r="C923" s="6">
        <v>1</v>
      </c>
    </row>
    <row r="924" spans="1:3" x14ac:dyDescent="0.25">
      <c r="A924" s="5" t="s">
        <v>451</v>
      </c>
      <c r="B924" s="2">
        <v>30</v>
      </c>
      <c r="C924" s="6">
        <v>1</v>
      </c>
    </row>
    <row r="925" spans="1:3" x14ac:dyDescent="0.25">
      <c r="A925" s="5" t="s">
        <v>400</v>
      </c>
      <c r="B925" s="2">
        <v>30</v>
      </c>
      <c r="C925" s="6">
        <v>1</v>
      </c>
    </row>
    <row r="926" spans="1:3" x14ac:dyDescent="0.25">
      <c r="A926" s="5" t="s">
        <v>496</v>
      </c>
      <c r="B926" s="2">
        <v>30</v>
      </c>
      <c r="C926" s="6">
        <v>1</v>
      </c>
    </row>
    <row r="927" spans="1:3" x14ac:dyDescent="0.25">
      <c r="A927" s="5" t="s">
        <v>579</v>
      </c>
      <c r="B927" s="2">
        <v>30</v>
      </c>
      <c r="C927" s="6">
        <v>1</v>
      </c>
    </row>
    <row r="928" spans="1:3" x14ac:dyDescent="0.25">
      <c r="A928" s="5" t="s">
        <v>409</v>
      </c>
      <c r="B928" s="2">
        <v>30</v>
      </c>
      <c r="C928" s="6">
        <v>1</v>
      </c>
    </row>
    <row r="929" spans="1:3" x14ac:dyDescent="0.25">
      <c r="A929" s="5" t="s">
        <v>630</v>
      </c>
      <c r="B929" s="2">
        <v>30</v>
      </c>
      <c r="C929" s="6">
        <v>1</v>
      </c>
    </row>
    <row r="930" spans="1:3" x14ac:dyDescent="0.25">
      <c r="A930" s="5" t="s">
        <v>358</v>
      </c>
      <c r="B930" s="2">
        <v>30</v>
      </c>
      <c r="C930" s="6">
        <v>1</v>
      </c>
    </row>
    <row r="931" spans="1:3" x14ac:dyDescent="0.25">
      <c r="A931" s="5" t="s">
        <v>464</v>
      </c>
      <c r="B931" s="2">
        <v>30</v>
      </c>
      <c r="C931" s="6">
        <v>1</v>
      </c>
    </row>
    <row r="932" spans="1:3" x14ac:dyDescent="0.25">
      <c r="A932" s="5" t="s">
        <v>672</v>
      </c>
      <c r="B932" s="2">
        <v>30</v>
      </c>
      <c r="C932" s="6">
        <v>1</v>
      </c>
    </row>
    <row r="933" spans="1:3" x14ac:dyDescent="0.25">
      <c r="A933" s="5" t="s">
        <v>592</v>
      </c>
      <c r="B933" s="2">
        <v>30</v>
      </c>
      <c r="C933" s="6">
        <v>1</v>
      </c>
    </row>
    <row r="934" spans="1:3" x14ac:dyDescent="0.25">
      <c r="A934" s="5" t="s">
        <v>498</v>
      </c>
      <c r="B934" s="2">
        <v>30</v>
      </c>
      <c r="C934" s="6">
        <v>1</v>
      </c>
    </row>
    <row r="935" spans="1:3" x14ac:dyDescent="0.25">
      <c r="A935" s="5" t="s">
        <v>357</v>
      </c>
      <c r="B935" s="2">
        <v>30</v>
      </c>
      <c r="C935" s="6">
        <v>1</v>
      </c>
    </row>
    <row r="936" spans="1:3" x14ac:dyDescent="0.25">
      <c r="A936" s="5" t="s">
        <v>389</v>
      </c>
      <c r="B936" s="2">
        <v>30</v>
      </c>
      <c r="C936" s="6">
        <v>1</v>
      </c>
    </row>
    <row r="937" spans="1:3" x14ac:dyDescent="0.25">
      <c r="A937" s="5" t="s">
        <v>614</v>
      </c>
      <c r="B937" s="2">
        <v>30</v>
      </c>
      <c r="C937" s="6">
        <v>1</v>
      </c>
    </row>
    <row r="938" spans="1:3" x14ac:dyDescent="0.25">
      <c r="A938" s="5" t="s">
        <v>663</v>
      </c>
      <c r="B938" s="2">
        <v>30</v>
      </c>
      <c r="C938" s="6">
        <v>1</v>
      </c>
    </row>
    <row r="939" spans="1:3" x14ac:dyDescent="0.25">
      <c r="A939" s="5" t="s">
        <v>281</v>
      </c>
      <c r="B939" s="2">
        <v>30</v>
      </c>
      <c r="C939" s="6">
        <v>1</v>
      </c>
    </row>
    <row r="940" spans="1:3" x14ac:dyDescent="0.25">
      <c r="A940" s="5" t="s">
        <v>268</v>
      </c>
      <c r="B940" s="2">
        <v>30</v>
      </c>
      <c r="C940" s="6">
        <v>1</v>
      </c>
    </row>
    <row r="941" spans="1:3" x14ac:dyDescent="0.25">
      <c r="A941" s="5" t="s">
        <v>129</v>
      </c>
      <c r="B941" s="2">
        <v>30</v>
      </c>
      <c r="C941" s="6">
        <v>1</v>
      </c>
    </row>
    <row r="942" spans="1:3" x14ac:dyDescent="0.25">
      <c r="A942" s="5" t="s">
        <v>318</v>
      </c>
      <c r="B942" s="2">
        <v>30</v>
      </c>
      <c r="C942" s="6">
        <v>1</v>
      </c>
    </row>
    <row r="943" spans="1:3" x14ac:dyDescent="0.25">
      <c r="A943" s="5" t="s">
        <v>42</v>
      </c>
      <c r="B943" s="2">
        <v>30</v>
      </c>
      <c r="C943" s="6">
        <v>1</v>
      </c>
    </row>
    <row r="944" spans="1:3" x14ac:dyDescent="0.25">
      <c r="A944" s="5" t="s">
        <v>79</v>
      </c>
      <c r="B944" s="2">
        <v>30</v>
      </c>
      <c r="C944" s="6">
        <v>1</v>
      </c>
    </row>
    <row r="945" spans="1:3" x14ac:dyDescent="0.25">
      <c r="A945" s="5" t="s">
        <v>153</v>
      </c>
      <c r="B945" s="2">
        <v>30</v>
      </c>
      <c r="C945" s="6">
        <v>1</v>
      </c>
    </row>
    <row r="946" spans="1:3" x14ac:dyDescent="0.25">
      <c r="A946" s="5" t="s">
        <v>19</v>
      </c>
      <c r="B946" s="2">
        <v>30</v>
      </c>
      <c r="C946" s="6">
        <v>1</v>
      </c>
    </row>
    <row r="947" spans="1:3" x14ac:dyDescent="0.25">
      <c r="A947" s="5" t="s">
        <v>70</v>
      </c>
      <c r="B947" s="2">
        <v>30</v>
      </c>
      <c r="C947" s="6">
        <v>1</v>
      </c>
    </row>
    <row r="948" spans="1:3" x14ac:dyDescent="0.25">
      <c r="A948" s="5" t="s">
        <v>103</v>
      </c>
      <c r="B948" s="2">
        <v>30</v>
      </c>
      <c r="C948" s="6">
        <v>1</v>
      </c>
    </row>
    <row r="949" spans="1:3" x14ac:dyDescent="0.25">
      <c r="A949" s="5" t="s">
        <v>15</v>
      </c>
      <c r="B949" s="2">
        <v>30</v>
      </c>
      <c r="C949" s="6">
        <v>1</v>
      </c>
    </row>
    <row r="950" spans="1:3" x14ac:dyDescent="0.25">
      <c r="A950" s="5" t="s">
        <v>113</v>
      </c>
      <c r="B950" s="2">
        <v>30</v>
      </c>
      <c r="C950" s="6">
        <v>1</v>
      </c>
    </row>
    <row r="951" spans="1:3" x14ac:dyDescent="0.25">
      <c r="A951" s="5" t="s">
        <v>58</v>
      </c>
      <c r="B951" s="2">
        <v>30</v>
      </c>
      <c r="C951" s="6">
        <v>1</v>
      </c>
    </row>
    <row r="952" spans="1:3" x14ac:dyDescent="0.25">
      <c r="A952" s="5" t="s">
        <v>208</v>
      </c>
      <c r="B952" s="2">
        <v>30</v>
      </c>
      <c r="C952" s="6">
        <v>1</v>
      </c>
    </row>
    <row r="953" spans="1:3" x14ac:dyDescent="0.25">
      <c r="A953" s="5" t="s">
        <v>868</v>
      </c>
      <c r="B953" s="2">
        <v>25</v>
      </c>
      <c r="C953" s="6">
        <v>1</v>
      </c>
    </row>
    <row r="954" spans="1:3" x14ac:dyDescent="0.25">
      <c r="A954" s="5" t="s">
        <v>920</v>
      </c>
      <c r="B954" s="2">
        <v>25</v>
      </c>
      <c r="C954" s="6">
        <v>1</v>
      </c>
    </row>
    <row r="955" spans="1:3" x14ac:dyDescent="0.25">
      <c r="A955" s="5" t="s">
        <v>777</v>
      </c>
      <c r="B955" s="2">
        <v>25</v>
      </c>
      <c r="C955" s="6">
        <v>1</v>
      </c>
    </row>
    <row r="956" spans="1:3" x14ac:dyDescent="0.25">
      <c r="A956" s="5" t="s">
        <v>965</v>
      </c>
      <c r="B956" s="2">
        <v>25</v>
      </c>
      <c r="C956" s="6">
        <v>1</v>
      </c>
    </row>
    <row r="957" spans="1:3" x14ac:dyDescent="0.25">
      <c r="A957" s="5" t="s">
        <v>804</v>
      </c>
      <c r="B957" s="2">
        <v>25</v>
      </c>
      <c r="C957" s="6">
        <v>1</v>
      </c>
    </row>
    <row r="958" spans="1:3" x14ac:dyDescent="0.25">
      <c r="A958" s="5" t="s">
        <v>757</v>
      </c>
      <c r="B958" s="2">
        <v>25</v>
      </c>
      <c r="C958" s="6">
        <v>1</v>
      </c>
    </row>
    <row r="959" spans="1:3" x14ac:dyDescent="0.25">
      <c r="A959" s="5" t="s">
        <v>803</v>
      </c>
      <c r="B959" s="2">
        <v>25</v>
      </c>
      <c r="C959" s="6">
        <v>1</v>
      </c>
    </row>
    <row r="960" spans="1:3" x14ac:dyDescent="0.25">
      <c r="A960" s="5" t="s">
        <v>752</v>
      </c>
      <c r="B960" s="2">
        <v>25</v>
      </c>
      <c r="C960" s="6">
        <v>1</v>
      </c>
    </row>
    <row r="961" spans="1:3" x14ac:dyDescent="0.25">
      <c r="A961" s="5" t="s">
        <v>992</v>
      </c>
      <c r="B961" s="2">
        <v>25</v>
      </c>
      <c r="C961" s="6">
        <v>1</v>
      </c>
    </row>
    <row r="962" spans="1:3" x14ac:dyDescent="0.25">
      <c r="A962" s="5" t="s">
        <v>968</v>
      </c>
      <c r="B962" s="2">
        <v>25</v>
      </c>
      <c r="C962" s="6">
        <v>1</v>
      </c>
    </row>
    <row r="963" spans="1:3" x14ac:dyDescent="0.25">
      <c r="A963" s="5" t="s">
        <v>838</v>
      </c>
      <c r="B963" s="2">
        <v>25</v>
      </c>
      <c r="C963" s="6">
        <v>1</v>
      </c>
    </row>
    <row r="964" spans="1:3" x14ac:dyDescent="0.25">
      <c r="A964" s="5" t="s">
        <v>1002</v>
      </c>
      <c r="B964" s="2">
        <v>25</v>
      </c>
      <c r="C964" s="6">
        <v>1</v>
      </c>
    </row>
    <row r="965" spans="1:3" x14ac:dyDescent="0.25">
      <c r="A965" s="5" t="s">
        <v>890</v>
      </c>
      <c r="B965" s="2">
        <v>25</v>
      </c>
      <c r="C965" s="6">
        <v>1</v>
      </c>
    </row>
    <row r="966" spans="1:3" x14ac:dyDescent="0.25">
      <c r="A966" s="5" t="s">
        <v>958</v>
      </c>
      <c r="B966" s="2">
        <v>25</v>
      </c>
      <c r="C966" s="6">
        <v>1</v>
      </c>
    </row>
    <row r="967" spans="1:3" x14ac:dyDescent="0.25">
      <c r="A967" s="5" t="s">
        <v>980</v>
      </c>
      <c r="B967" s="2">
        <v>25</v>
      </c>
      <c r="C967" s="6">
        <v>1</v>
      </c>
    </row>
    <row r="968" spans="1:3" x14ac:dyDescent="0.25">
      <c r="A968" s="5" t="s">
        <v>800</v>
      </c>
      <c r="B968" s="2">
        <v>25</v>
      </c>
      <c r="C968" s="6">
        <v>1</v>
      </c>
    </row>
    <row r="969" spans="1:3" x14ac:dyDescent="0.25">
      <c r="A969" s="5" t="s">
        <v>481</v>
      </c>
      <c r="B969" s="2">
        <v>25</v>
      </c>
      <c r="C969" s="6">
        <v>1</v>
      </c>
    </row>
    <row r="970" spans="1:3" x14ac:dyDescent="0.25">
      <c r="A970" s="5" t="s">
        <v>392</v>
      </c>
      <c r="B970" s="2">
        <v>25</v>
      </c>
      <c r="C970" s="6">
        <v>1</v>
      </c>
    </row>
    <row r="971" spans="1:3" x14ac:dyDescent="0.25">
      <c r="A971" s="5" t="s">
        <v>557</v>
      </c>
      <c r="B971" s="2">
        <v>25</v>
      </c>
      <c r="C971" s="6">
        <v>1</v>
      </c>
    </row>
    <row r="972" spans="1:3" x14ac:dyDescent="0.25">
      <c r="A972" s="5" t="s">
        <v>467</v>
      </c>
      <c r="B972" s="2">
        <v>25</v>
      </c>
      <c r="C972" s="6">
        <v>1</v>
      </c>
    </row>
    <row r="973" spans="1:3" x14ac:dyDescent="0.25">
      <c r="A973" s="5" t="s">
        <v>375</v>
      </c>
      <c r="B973" s="2">
        <v>25</v>
      </c>
      <c r="C973" s="6">
        <v>1</v>
      </c>
    </row>
    <row r="974" spans="1:3" x14ac:dyDescent="0.25">
      <c r="A974" s="5" t="s">
        <v>360</v>
      </c>
      <c r="B974" s="2">
        <v>25</v>
      </c>
      <c r="C974" s="6">
        <v>1</v>
      </c>
    </row>
    <row r="975" spans="1:3" x14ac:dyDescent="0.25">
      <c r="A975" s="5" t="s">
        <v>440</v>
      </c>
      <c r="B975" s="2">
        <v>25</v>
      </c>
      <c r="C975" s="6">
        <v>1</v>
      </c>
    </row>
    <row r="976" spans="1:3" x14ac:dyDescent="0.25">
      <c r="A976" s="5" t="s">
        <v>384</v>
      </c>
      <c r="B976" s="2">
        <v>25</v>
      </c>
      <c r="C976" s="6">
        <v>1</v>
      </c>
    </row>
    <row r="977" spans="1:3" x14ac:dyDescent="0.25">
      <c r="A977" s="5" t="s">
        <v>499</v>
      </c>
      <c r="B977" s="2">
        <v>25</v>
      </c>
      <c r="C977" s="6">
        <v>1</v>
      </c>
    </row>
    <row r="978" spans="1:3" x14ac:dyDescent="0.25">
      <c r="A978" s="5" t="s">
        <v>571</v>
      </c>
      <c r="B978" s="2">
        <v>25</v>
      </c>
      <c r="C978" s="6">
        <v>1</v>
      </c>
    </row>
    <row r="979" spans="1:3" x14ac:dyDescent="0.25">
      <c r="A979" s="5" t="s">
        <v>598</v>
      </c>
      <c r="B979" s="2">
        <v>25</v>
      </c>
      <c r="C979" s="6">
        <v>1</v>
      </c>
    </row>
    <row r="980" spans="1:3" x14ac:dyDescent="0.25">
      <c r="A980" s="5" t="s">
        <v>410</v>
      </c>
      <c r="B980" s="2">
        <v>25</v>
      </c>
      <c r="C980" s="6">
        <v>1</v>
      </c>
    </row>
    <row r="981" spans="1:3" x14ac:dyDescent="0.25">
      <c r="A981" s="5" t="s">
        <v>525</v>
      </c>
      <c r="B981" s="2">
        <v>25</v>
      </c>
      <c r="C981" s="6">
        <v>1</v>
      </c>
    </row>
    <row r="982" spans="1:3" x14ac:dyDescent="0.25">
      <c r="A982" s="5" t="s">
        <v>376</v>
      </c>
      <c r="B982" s="2">
        <v>25</v>
      </c>
      <c r="C982" s="6">
        <v>1</v>
      </c>
    </row>
    <row r="983" spans="1:3" x14ac:dyDescent="0.25">
      <c r="A983" s="5" t="s">
        <v>401</v>
      </c>
      <c r="B983" s="2">
        <v>25</v>
      </c>
      <c r="C983" s="6">
        <v>1</v>
      </c>
    </row>
    <row r="984" spans="1:3" x14ac:dyDescent="0.25">
      <c r="A984" s="5" t="s">
        <v>670</v>
      </c>
      <c r="B984" s="2">
        <v>25</v>
      </c>
      <c r="C984" s="6">
        <v>1</v>
      </c>
    </row>
    <row r="985" spans="1:3" x14ac:dyDescent="0.25">
      <c r="A985" s="5" t="s">
        <v>436</v>
      </c>
      <c r="B985" s="2">
        <v>25</v>
      </c>
      <c r="C985" s="6">
        <v>1</v>
      </c>
    </row>
    <row r="986" spans="1:3" x14ac:dyDescent="0.25">
      <c r="A986" s="5" t="s">
        <v>671</v>
      </c>
      <c r="B986" s="2">
        <v>25</v>
      </c>
      <c r="C986" s="6">
        <v>1</v>
      </c>
    </row>
    <row r="987" spans="1:3" x14ac:dyDescent="0.25">
      <c r="A987" s="5" t="s">
        <v>198</v>
      </c>
      <c r="B987" s="2">
        <v>25</v>
      </c>
      <c r="C987" s="6">
        <v>1</v>
      </c>
    </row>
    <row r="988" spans="1:3" x14ac:dyDescent="0.25">
      <c r="A988" s="5" t="s">
        <v>243</v>
      </c>
      <c r="B988" s="2">
        <v>25</v>
      </c>
      <c r="C988" s="6">
        <v>1</v>
      </c>
    </row>
    <row r="989" spans="1:3" x14ac:dyDescent="0.25">
      <c r="A989" s="5" t="s">
        <v>214</v>
      </c>
      <c r="B989" s="2">
        <v>25</v>
      </c>
      <c r="C989" s="6">
        <v>1</v>
      </c>
    </row>
    <row r="990" spans="1:3" x14ac:dyDescent="0.25">
      <c r="A990" s="5" t="s">
        <v>331</v>
      </c>
      <c r="B990" s="2">
        <v>25</v>
      </c>
      <c r="C990" s="6">
        <v>1</v>
      </c>
    </row>
    <row r="991" spans="1:3" x14ac:dyDescent="0.25">
      <c r="A991" s="5" t="s">
        <v>249</v>
      </c>
      <c r="B991" s="2">
        <v>25</v>
      </c>
      <c r="C991" s="6">
        <v>1</v>
      </c>
    </row>
    <row r="992" spans="1:3" x14ac:dyDescent="0.25">
      <c r="A992" s="5" t="s">
        <v>219</v>
      </c>
      <c r="B992" s="2">
        <v>25</v>
      </c>
      <c r="C992" s="6">
        <v>1</v>
      </c>
    </row>
    <row r="993" spans="1:3" x14ac:dyDescent="0.25">
      <c r="A993" s="5" t="s">
        <v>116</v>
      </c>
      <c r="B993" s="2">
        <v>25</v>
      </c>
      <c r="C993" s="6">
        <v>1</v>
      </c>
    </row>
    <row r="994" spans="1:3" x14ac:dyDescent="0.25">
      <c r="A994" s="5" t="s">
        <v>322</v>
      </c>
      <c r="B994" s="2">
        <v>25</v>
      </c>
      <c r="C994" s="6">
        <v>1</v>
      </c>
    </row>
    <row r="995" spans="1:3" x14ac:dyDescent="0.25">
      <c r="A995" s="5" t="s">
        <v>57</v>
      </c>
      <c r="B995" s="2">
        <v>25</v>
      </c>
      <c r="C995" s="6">
        <v>1</v>
      </c>
    </row>
    <row r="996" spans="1:3" x14ac:dyDescent="0.25">
      <c r="A996" s="5" t="s">
        <v>323</v>
      </c>
      <c r="B996" s="2">
        <v>25</v>
      </c>
      <c r="C996" s="6">
        <v>1</v>
      </c>
    </row>
    <row r="997" spans="1:3" x14ac:dyDescent="0.25">
      <c r="A997" s="5" t="s">
        <v>217</v>
      </c>
      <c r="B997" s="2">
        <v>25</v>
      </c>
      <c r="C997" s="6">
        <v>1</v>
      </c>
    </row>
    <row r="998" spans="1:3" x14ac:dyDescent="0.25">
      <c r="A998" s="5" t="s">
        <v>245</v>
      </c>
      <c r="B998" s="2">
        <v>25</v>
      </c>
      <c r="C998" s="6">
        <v>1</v>
      </c>
    </row>
    <row r="999" spans="1:3" x14ac:dyDescent="0.25">
      <c r="A999" s="5" t="s">
        <v>218</v>
      </c>
      <c r="B999" s="2">
        <v>25</v>
      </c>
      <c r="C999" s="6">
        <v>1</v>
      </c>
    </row>
    <row r="1000" spans="1:3" x14ac:dyDescent="0.25">
      <c r="A1000" s="5" t="s">
        <v>255</v>
      </c>
      <c r="B1000" s="2">
        <v>25</v>
      </c>
      <c r="C1000" s="6">
        <v>1</v>
      </c>
    </row>
    <row r="1001" spans="1:3" x14ac:dyDescent="0.25">
      <c r="A1001" s="5" t="s">
        <v>236</v>
      </c>
      <c r="B1001" s="2">
        <v>25</v>
      </c>
      <c r="C1001" s="6">
        <v>1</v>
      </c>
    </row>
    <row r="1002" spans="1:3" x14ac:dyDescent="0.25">
      <c r="A1002" s="5" t="s">
        <v>204</v>
      </c>
      <c r="B1002" s="2">
        <v>25</v>
      </c>
      <c r="C1002" s="6">
        <v>1</v>
      </c>
    </row>
    <row r="1003" spans="1:3" x14ac:dyDescent="0.25">
      <c r="A1003" s="5" t="s">
        <v>298</v>
      </c>
      <c r="B1003" s="2">
        <v>25</v>
      </c>
      <c r="C1003" s="6">
        <v>1</v>
      </c>
    </row>
    <row r="1004" spans="1:3" x14ac:dyDescent="0.25">
      <c r="A1004" s="5" t="s">
        <v>1022</v>
      </c>
      <c r="B1004" s="2">
        <v>456000</v>
      </c>
      <c r="C1004" s="6">
        <v>2514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RETAIL_SALES_DATASET</vt:lpstr>
      <vt:lpstr>KPIs</vt:lpstr>
      <vt:lpstr>Revenue by Category</vt:lpstr>
      <vt:lpstr>Revenue by Gender</vt:lpstr>
      <vt:lpstr>Revenue by Age Group</vt:lpstr>
      <vt:lpstr>Monthly Revenue Trend</vt:lpstr>
      <vt:lpstr>Customer Purchase 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Igwebuike</dc:creator>
  <cp:lastModifiedBy>henry Igwebuike</cp:lastModifiedBy>
  <dcterms:created xsi:type="dcterms:W3CDTF">2026-02-04T18:40:28Z</dcterms:created>
  <dcterms:modified xsi:type="dcterms:W3CDTF">2026-02-05T00:32:44Z</dcterms:modified>
</cp:coreProperties>
</file>